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itya Rao\Downloads\Training\Project\"/>
    </mc:Choice>
  </mc:AlternateContent>
  <xr:revisionPtr revIDLastSave="0" documentId="13_ncr:1_{0B43536A-4E9F-4325-8115-3B80DBD229E2}" xr6:coauthVersionLast="47" xr6:coauthVersionMax="47" xr10:uidLastSave="{00000000-0000-0000-0000-000000000000}"/>
  <bookViews>
    <workbookView xWindow="-110" yWindow="-110" windowWidth="19420" windowHeight="11500" tabRatio="679" firstSheet="6" activeTab="9" xr2:uid="{00000000-000D-0000-FFFF-FFFF00000000}"/>
  </bookViews>
  <sheets>
    <sheet name="DASHBOARD" sheetId="1" r:id="rId1"/>
    <sheet name="README" sheetId="2" r:id="rId2"/>
    <sheet name="ROLES" sheetId="3" r:id="rId3"/>
    <sheet name="USERS" sheetId="4" r:id="rId4"/>
    <sheet name="ACCOUNTS" sheetId="5" r:id="rId5"/>
    <sheet name="BENEFICIARIES" sheetId="6" r:id="rId6"/>
    <sheet name="TRANSACTIONS" sheetId="7" r:id="rId7"/>
    <sheet name="RISK_FACTORS" sheetId="8" r:id="rId8"/>
    <sheet name="TRANSACTION_RISK_FACTORS" sheetId="9" r:id="rId9"/>
    <sheet name="PROTECTION_RULES" sheetId="10" r:id="rId10"/>
    <sheet name="USER_SAFETY_SETTINGS" sheetId="11" r:id="rId11"/>
    <sheet name="APPROVALS" sheetId="12" r:id="rId12"/>
    <sheet name="DISPUTES" sheetId="13" r:id="rId13"/>
    <sheet name="AUDIT_LOG" sheetId="14" r:id="rId14"/>
    <sheet name="SCENARIO_CALC" sheetId="15" r:id="rId15"/>
    <sheet name="DATA_DICTIONARY" sheetId="16" r:id="rId16"/>
    <sheet name="REPORTING_VIEWS" sheetId="17" r:id="rId17"/>
  </sheets>
  <definedNames>
    <definedName name="_xlnm._FilterDatabase" localSheetId="4" hidden="1">ACCOUNTS!$A$2:$G$4</definedName>
    <definedName name="_xlnm._FilterDatabase" localSheetId="11" hidden="1">APPROVALS!$A$2:$H$4</definedName>
    <definedName name="_xlnm._FilterDatabase" localSheetId="13" hidden="1">AUDIT_LOG!$A$2:$H$5</definedName>
    <definedName name="_xlnm._FilterDatabase" localSheetId="5" hidden="1">BENEFICIARIES!$A$2:$G$5</definedName>
    <definedName name="_xlnm._FilterDatabase" localSheetId="15" hidden="1">DATA_DICTIONARY!$A$2:$F$15</definedName>
    <definedName name="_xlnm._FilterDatabase" localSheetId="12" hidden="1">DISPUTES!$A$2:$I$3</definedName>
    <definedName name="_xlnm._FilterDatabase" localSheetId="9" hidden="1">PROTECTION_RULES!$A$2:$G$6</definedName>
    <definedName name="_xlnm._FilterDatabase" localSheetId="1" hidden="1">README!$A$2:$B$7</definedName>
    <definedName name="_xlnm._FilterDatabase" localSheetId="16" hidden="1">REPORTING_VIEWS!$A$2:$E$6</definedName>
    <definedName name="_xlnm._FilterDatabase" localSheetId="7" hidden="1">RISK_FACTORS!$A$2:$F$9</definedName>
    <definedName name="_xlnm._FilterDatabase" localSheetId="2" hidden="1">ROLES!$A$2:$C$6</definedName>
    <definedName name="_xlnm._FilterDatabase" localSheetId="14" hidden="1">SCENARIO_CALC!$A$2:$J$6</definedName>
    <definedName name="_xlnm._FilterDatabase" localSheetId="8" hidden="1">TRANSACTION_RISK_FACTORS!$A$2:$D$9</definedName>
    <definedName name="_xlnm._FilterDatabase" localSheetId="6" hidden="1">TRANSACTIONS!$A$2:$N$6</definedName>
    <definedName name="_xlnm._FilterDatabase" localSheetId="10" hidden="1">USER_SAFETY_SETTINGS!$A$2:$G$4</definedName>
    <definedName name="_xlnm._FilterDatabase" localSheetId="3" hidden="1">USERS!$A$2:$H$6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5" l="1"/>
  <c r="I6" i="15" s="1"/>
  <c r="J6" i="15" s="1"/>
  <c r="H5" i="15"/>
  <c r="I5" i="15" s="1"/>
  <c r="J5" i="15" s="1"/>
  <c r="H4" i="15"/>
  <c r="I4" i="15" s="1"/>
  <c r="J4" i="15" s="1"/>
  <c r="H3" i="15"/>
  <c r="I3" i="15" s="1"/>
  <c r="J3" i="15" s="1"/>
  <c r="B13" i="1"/>
  <c r="B12" i="1"/>
  <c r="B11" i="1"/>
  <c r="B10" i="1"/>
  <c r="G7" i="1"/>
  <c r="E7" i="1"/>
  <c r="C7" i="1"/>
  <c r="A7" i="1"/>
  <c r="G4" i="1"/>
  <c r="E4" i="1"/>
  <c r="C4" i="1"/>
  <c r="A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SafePay</author>
  </authors>
  <commentList>
    <comment ref="F2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Computed by the Java risk engine in the application. SCENARIO_CALC contains Excel demonstration formulas.</t>
        </r>
      </text>
    </comment>
    <comment ref="H2" authorId="0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>Backend-controlled state machine. Do not allow client-only status changes.</t>
        </r>
      </text>
    </comment>
  </commentList>
</comments>
</file>

<file path=xl/sharedStrings.xml><?xml version="1.0" encoding="utf-8"?>
<sst xmlns="http://schemas.openxmlformats.org/spreadsheetml/2006/main" count="423" uniqueCount="269">
  <si>
    <t>SafePay - Project Data Dashboard</t>
  </si>
  <si>
    <t>Total Transactions</t>
  </si>
  <si>
    <t>Total Value INR</t>
  </si>
  <si>
    <t>Protected</t>
  </si>
  <si>
    <t>High Risk</t>
  </si>
  <si>
    <t>Very High Risk</t>
  </si>
  <si>
    <t>Cancelled</t>
  </si>
  <si>
    <t>Settled</t>
  </si>
  <si>
    <t>Pending Approval</t>
  </si>
  <si>
    <t>Risk Tier</t>
  </si>
  <si>
    <t>Count</t>
  </si>
  <si>
    <t>LOW</t>
  </si>
  <si>
    <t>MEDIUM</t>
  </si>
  <si>
    <t>HIGH</t>
  </si>
  <si>
    <t>VERY_HIGH</t>
  </si>
  <si>
    <t>SafePay - Data Model Workbook</t>
  </si>
  <si>
    <t>SECTION</t>
  </si>
  <si>
    <t>DETAIL</t>
  </si>
  <si>
    <t>Purpose</t>
  </si>
  <si>
    <t>Data rows/columns required to design the SafePay Oracle database and application.</t>
  </si>
  <si>
    <t>Core idea</t>
  </si>
  <si>
    <t>Payment -&gt; Risk Check -&gt; Instant Settlement OR Protection Window OR Hard Hold.</t>
  </si>
  <si>
    <t>Important scope</t>
  </si>
  <si>
    <t>Simulated pre-settlement banking flow. No real UPI/IMPS money movement or reversal.</t>
  </si>
  <si>
    <t>Build first</t>
  </si>
  <si>
    <t>ROLES, USERS, ACCOUNTS, BENEFICIARIES, TRANSACTIONS, then risk/protection/approval/audit tables.</t>
  </si>
  <si>
    <t>Roles</t>
  </si>
  <si>
    <t>ROLE_ID</t>
  </si>
  <si>
    <t>ROLE_NAME</t>
  </si>
  <si>
    <t>DESCRIPTION</t>
  </si>
  <si>
    <t>CUSTOMER</t>
  </si>
  <si>
    <t>Personal banking customer</t>
  </si>
  <si>
    <t>MAKER</t>
  </si>
  <si>
    <t>Corporate user who creates controlled payments</t>
  </si>
  <si>
    <t>CHECKER</t>
  </si>
  <si>
    <t>Authorized user who approves/rejects Maker payments</t>
  </si>
  <si>
    <t>ADMIN</t>
  </si>
  <si>
    <t>Bank operations administrator</t>
  </si>
  <si>
    <t>Users</t>
  </si>
  <si>
    <t>USER_ID</t>
  </si>
  <si>
    <t>USER_NAME</t>
  </si>
  <si>
    <t>EMAIL</t>
  </si>
  <si>
    <t>PHONE</t>
  </si>
  <si>
    <t>PASSWORD_HASH</t>
  </si>
  <si>
    <t>STATUS</t>
  </si>
  <si>
    <t>CREATED_AT</t>
  </si>
  <si>
    <t>Rahul Sharma</t>
  </si>
  <si>
    <t>rahul@safepay.test</t>
  </si>
  <si>
    <t>9000000001</t>
  </si>
  <si>
    <t>&lt;hash&gt;</t>
  </si>
  <si>
    <t>ACTIVE</t>
  </si>
  <si>
    <t>2026-08-27 10:00:00</t>
  </si>
  <si>
    <t>Amit Maker</t>
  </si>
  <si>
    <t>amit.maker@safepay.test</t>
  </si>
  <si>
    <t>9000000002</t>
  </si>
  <si>
    <t>2026-08-27 10:01:00</t>
  </si>
  <si>
    <t>Priya Checker</t>
  </si>
  <si>
    <t>priya.checker@safepay.test</t>
  </si>
  <si>
    <t>9000000003</t>
  </si>
  <si>
    <t>2026-08-27 10:02:00</t>
  </si>
  <si>
    <t>Bank Admin</t>
  </si>
  <si>
    <t>admin@safepay.test</t>
  </si>
  <si>
    <t>9000000004</t>
  </si>
  <si>
    <t>2026-08-27 10:03:00</t>
  </si>
  <si>
    <t>Accounts</t>
  </si>
  <si>
    <t>ACCOUNT_ID</t>
  </si>
  <si>
    <t>ACCOUNT_NUMBER_MASKED</t>
  </si>
  <si>
    <t>ACCOUNT_TYPE</t>
  </si>
  <si>
    <t>BALANCE_INR</t>
  </si>
  <si>
    <t>XXXXXX1234</t>
  </si>
  <si>
    <t>SAVINGS</t>
  </si>
  <si>
    <t>2026-08-27 10:05:00</t>
  </si>
  <si>
    <t>XXXXXX2345</t>
  </si>
  <si>
    <t>CURRENT</t>
  </si>
  <si>
    <t>2026-08-27 10:06:00</t>
  </si>
  <si>
    <t>Beneficiaries</t>
  </si>
  <si>
    <t>BENEFICIARY_ID</t>
  </si>
  <si>
    <t>BENEFICIARY_NAME</t>
  </si>
  <si>
    <t>BANK_CODE</t>
  </si>
  <si>
    <t>ADDED_AT</t>
  </si>
  <si>
    <t>Regular Grocery</t>
  </si>
  <si>
    <t>XXXXXX7788</t>
  </si>
  <si>
    <t>BANK001</t>
  </si>
  <si>
    <t>2026-07-01 09:00:00</t>
  </si>
  <si>
    <t>New Vendor</t>
  </si>
  <si>
    <t>XXXXXX8899</t>
  </si>
  <si>
    <t>BANK002</t>
  </si>
  <si>
    <t>2026-08-27 10:20:00</t>
  </si>
  <si>
    <t>ABC Suppliers</t>
  </si>
  <si>
    <t>XXXXXX9988</t>
  </si>
  <si>
    <t>BANK003</t>
  </si>
  <si>
    <t>2026-06-15 11:00:00</t>
  </si>
  <si>
    <t>Main Transaction Table</t>
  </si>
  <si>
    <t>TRANSACTION_ID</t>
  </si>
  <si>
    <t>SENDER_ACCOUNT_ID</t>
  </si>
  <si>
    <t>AMOUNT_INR</t>
  </si>
  <si>
    <t>TRANSACTION_TYPE</t>
  </si>
  <si>
    <t>RISK_SCORE</t>
  </si>
  <si>
    <t>RISK_TIER</t>
  </si>
  <si>
    <t>PROTECTION_SECONDS</t>
  </si>
  <si>
    <t>PROTECTION_START</t>
  </si>
  <si>
    <t>PROTECTION_END</t>
  </si>
  <si>
    <t>CREATED_BY</t>
  </si>
  <si>
    <t>UPDATED_AT</t>
  </si>
  <si>
    <t>TRANSFER</t>
  </si>
  <si>
    <t>SETTLED</t>
  </si>
  <si>
    <t>2026-08-27 10:30:00</t>
  </si>
  <si>
    <t>2026-08-27 10:30:02</t>
  </si>
  <si>
    <t>CANCELLED</t>
  </si>
  <si>
    <t>2026-08-27 10:32:00</t>
  </si>
  <si>
    <t>2026-08-27 10:32:10</t>
  </si>
  <si>
    <t>2026-08-27 10:31:59</t>
  </si>
  <si>
    <t>2026-08-27 10:32:07</t>
  </si>
  <si>
    <t>PROTECTED</t>
  </si>
  <si>
    <t>2026-08-27 10:35:00</t>
  </si>
  <si>
    <t>2026-08-27 10:36:00</t>
  </si>
  <si>
    <t>HARD_HOLD</t>
  </si>
  <si>
    <t>Configurable Risk Factors</t>
  </si>
  <si>
    <t>RISK_FACTOR_ID</t>
  </si>
  <si>
    <t>FACTOR_CODE</t>
  </si>
  <si>
    <t>FACTOR_NAME</t>
  </si>
  <si>
    <t>WEIGHT</t>
  </si>
  <si>
    <t>ACTIVE_FLAG</t>
  </si>
  <si>
    <t>NEW_BENEFICIARY</t>
  </si>
  <si>
    <t>New beneficiary</t>
  </si>
  <si>
    <t>Beneficiary was added recently.</t>
  </si>
  <si>
    <t>Y</t>
  </si>
  <si>
    <t>HIGH_AMOUNT</t>
  </si>
  <si>
    <t>High amount</t>
  </si>
  <si>
    <t>Transaction exceeds configured high-value threshold.</t>
  </si>
  <si>
    <t>FIRST_TRANSACTION</t>
  </si>
  <si>
    <t>First transaction</t>
  </si>
  <si>
    <t>No previous successful payment to beneficiary.</t>
  </si>
  <si>
    <t>UNUSUAL_AMOUNT</t>
  </si>
  <si>
    <t>Unusual amount</t>
  </si>
  <si>
    <t>Amount is significantly above the customer's normal pattern.</t>
  </si>
  <si>
    <t>NEW_DEVICE</t>
  </si>
  <si>
    <t>New device</t>
  </si>
  <si>
    <t>Device has not been seen before.</t>
  </si>
  <si>
    <t>UNUSUAL_LOCATION</t>
  </si>
  <si>
    <t>Unusual location</t>
  </si>
  <si>
    <t>Location differs materially from recent pattern.</t>
  </si>
  <si>
    <t>UNUSUAL_TIME</t>
  </si>
  <si>
    <t>Unusual time</t>
  </si>
  <si>
    <t>Transaction occurs at an unusual configured time.</t>
  </si>
  <si>
    <t>Detected Risk Factors</t>
  </si>
  <si>
    <t>SCORE_ADDED</t>
  </si>
  <si>
    <t>DETECTED_VALUE</t>
  </si>
  <si>
    <t>Beneficiary added recently</t>
  </si>
  <si>
    <t>Amount above high-value threshold</t>
  </si>
  <si>
    <t>First payment to beneficiary</t>
  </si>
  <si>
    <t>Amount exceeds high-value threshold</t>
  </si>
  <si>
    <t>Protection Rules</t>
  </si>
  <si>
    <t>RULE_ID</t>
  </si>
  <si>
    <t>MIN_SCORE</t>
  </si>
  <si>
    <t>MAX_SCORE</t>
  </si>
  <si>
    <t>ACTION</t>
  </si>
  <si>
    <t>INSTANT_SETTLEMENT</t>
  </si>
  <si>
    <t>PROTECTED_WINDOW</t>
  </si>
  <si>
    <t>HARD_HOLD_CHECKER</t>
  </si>
  <si>
    <t>Customer Safety Settings</t>
  </si>
  <si>
    <t>SETTING_ID</t>
  </si>
  <si>
    <t>AMOUNT_THRESHOLD_INR</t>
  </si>
  <si>
    <t>NEW_BENEFICIARY_PROTECTION</t>
  </si>
  <si>
    <t>ADDITIONAL_VERIFICATION_ABOVE_INR</t>
  </si>
  <si>
    <t>Maker-Checker Approvals</t>
  </si>
  <si>
    <t>APPROVAL_ID</t>
  </si>
  <si>
    <t>MAKER_ID</t>
  </si>
  <si>
    <t>CHECKER_ID</t>
  </si>
  <si>
    <t>COMMENTS</t>
  </si>
  <si>
    <t>ACTION_AT</t>
  </si>
  <si>
    <t>PENDING</t>
  </si>
  <si>
    <t>Awaiting checker verification.</t>
  </si>
  <si>
    <t>2026-08-27 10:36:01</t>
  </si>
  <si>
    <t>APPROVED</t>
  </si>
  <si>
    <t>Sample completed corporate approval.</t>
  </si>
  <si>
    <t>2026-08-27 09:00:00</t>
  </si>
  <si>
    <t>2026-08-27 09:02:00</t>
  </si>
  <si>
    <t>Post-Settlement Disputes</t>
  </si>
  <si>
    <t>DISPUTE_ID</t>
  </si>
  <si>
    <t>DISPUTE_TYPE</t>
  </si>
  <si>
    <t>RESOLUTION_DATE</t>
  </si>
  <si>
    <t>RESOLUTION_REMARKS</t>
  </si>
  <si>
    <t>WRONG_BENEFICIARY</t>
  </si>
  <si>
    <t>Customer realized the beneficiary was incorrect after settlement.</t>
  </si>
  <si>
    <t>OPEN</t>
  </si>
  <si>
    <t>2026-08-27 11:00:00</t>
  </si>
  <si>
    <t>Audit Trail</t>
  </si>
  <si>
    <t>AUDIT_ID</t>
  </si>
  <si>
    <t>OLD_STATUS</t>
  </si>
  <si>
    <t>NEW_STATUS</t>
  </si>
  <si>
    <t>EVENT_TIMESTAMP</t>
  </si>
  <si>
    <t>REMARKS</t>
  </si>
  <si>
    <t>RISK_ASSESSED</t>
  </si>
  <si>
    <t>AUTHORIZED</t>
  </si>
  <si>
    <t>Risk score 75; HIGH tier.</t>
  </si>
  <si>
    <t>CANCEL_TRANSACTION</t>
  </si>
  <si>
    <t>Customer cancelled within protection window.</t>
  </si>
  <si>
    <t>APPROVAL_REVIEW</t>
  </si>
  <si>
    <t>2026-08-27 10:40:00</t>
  </si>
  <si>
    <t>Checker opened pending payment.</t>
  </si>
  <si>
    <t>Risk Scoring Demonstration</t>
  </si>
  <si>
    <t>SCENARIO</t>
  </si>
  <si>
    <t>SYSTEM_ACTION</t>
  </si>
  <si>
    <t>Normal grocery</t>
  </si>
  <si>
    <t>N</t>
  </si>
  <si>
    <t>Existing beneficiary, unusual payment</t>
  </si>
  <si>
    <t>New beneficiary high-value</t>
  </si>
  <si>
    <t>Very high risk example</t>
  </si>
  <si>
    <t>Data Dictionary</t>
  </si>
  <si>
    <t>TABLE</t>
  </si>
  <si>
    <t>COLUMN</t>
  </si>
  <si>
    <t>TYPE</t>
  </si>
  <si>
    <t>KEY</t>
  </si>
  <si>
    <t>NULL_ALLOWED</t>
  </si>
  <si>
    <t>PURPOSE</t>
  </si>
  <si>
    <t>TRANSACTIONS</t>
  </si>
  <si>
    <t>NUMBER</t>
  </si>
  <si>
    <t>PK</t>
  </si>
  <si>
    <t>NO</t>
  </si>
  <si>
    <t>Unique payment identifier; generated from Oracle sequence.</t>
  </si>
  <si>
    <t>NUMBER(15,2)</t>
  </si>
  <si>
    <t>Payment amount; use BigDecimal in Java.</t>
  </si>
  <si>
    <t>NUMBER(5,2)</t>
  </si>
  <si>
    <t>YES</t>
  </si>
  <si>
    <t>Calculated by the risk engine.</t>
  </si>
  <si>
    <t>VARCHAR2(20)</t>
  </si>
  <si>
    <t>LOW, MEDIUM, HIGH, VERY_HIGH.</t>
  </si>
  <si>
    <t>VARCHAR2(30)</t>
  </si>
  <si>
    <t>Backend-controlled transaction state.</t>
  </si>
  <si>
    <t>TIMESTAMP</t>
  </si>
  <si>
    <t>Server-side end of the protection window.</t>
  </si>
  <si>
    <t>RISK_FACTORS</t>
  </si>
  <si>
    <t>Configurable score contribution.</t>
  </si>
  <si>
    <t>PROTECTION_RULES</t>
  </si>
  <si>
    <t>Protection duration for a risk tier.</t>
  </si>
  <si>
    <t>APPROVALS</t>
  </si>
  <si>
    <t>FK</t>
  </si>
  <si>
    <t>User who created controlled payment.</t>
  </si>
  <si>
    <t>Approver; must differ from Maker.</t>
  </si>
  <si>
    <t>DISPUTES</t>
  </si>
  <si>
    <t>Settled payment under dispute.</t>
  </si>
  <si>
    <t>AUDIT_LOG</t>
  </si>
  <si>
    <t>State before an audited event.</t>
  </si>
  <si>
    <t>State after an audited event.</t>
  </si>
  <si>
    <t>Oracle Reporting View Requirements</t>
  </si>
  <si>
    <t>VIEW_NAME</t>
  </si>
  <si>
    <t>KEY_TABLES</t>
  </si>
  <si>
    <t>OUTPUT</t>
  </si>
  <si>
    <t>LOGIC</t>
  </si>
  <si>
    <t>VW_TRANSACTION_DASHBOARD</t>
  </si>
  <si>
    <t>Admin transaction monitoring</t>
  </si>
  <si>
    <t>USERS, ACCOUNTS, BENEFICIARIES, TRANSACTIONS</t>
  </si>
  <si>
    <t>Transaction, customer, beneficiary, amount, risk, tier, status, protection time</t>
  </si>
  <si>
    <t>JOIN transaction to customer/account/beneficiary.</t>
  </si>
  <si>
    <t>VW_RISK_SUMMARY</t>
  </si>
  <si>
    <t>Risk KPIs</t>
  </si>
  <si>
    <t>Tier, transaction count, total amount, average amount</t>
  </si>
  <si>
    <t>GROUP BY RISK_TIER; use COUNT/SUM/AVG.</t>
  </si>
  <si>
    <t>VW_PENDING_APPROVALS</t>
  </si>
  <si>
    <t>Maker-checker queue</t>
  </si>
  <si>
    <t>TRANSACTIONS, APPROVALS, USERS</t>
  </si>
  <si>
    <t>Transaction, Maker, amount, risk, status, age</t>
  </si>
  <si>
    <t>JOIN users and filter pending approval records.</t>
  </si>
  <si>
    <t>VW_CUSTOMER_PROTECTION_ANALYSIS</t>
  </si>
  <si>
    <t>Customer safety analytics</t>
  </si>
  <si>
    <t>USERS, ACCOUNTS, TRANSACTIONS</t>
  </si>
  <si>
    <t>Customer, total, protected, cancelled, settled, high-risk</t>
  </si>
  <si>
    <t>GROUP BY customer and use CASE expressions.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</si>
</sst>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;[Red]\(\₹#,##0\);\-"/>
  </numFmts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sz val="11"/>
      <color rgb="FF666666"/>
      <name val="Calibri"/>
    </font>
    <font>
      <sz val="11"/>
      <color rgb="FF0000FF"/>
      <name val="Calibri"/>
    </font>
    <font>
      <sz val="11"/>
      <color rgb="FF008000"/>
      <name val="Calibri"/>
    </font>
    <font>
      <b/>
      <sz val="16"/>
      <color rgb="FFFFFFFF"/>
      <name val="Calibri"/>
    </font>
    <font>
      <b/>
      <sz val="16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305496"/>
      </patternFill>
    </fill>
    <fill>
      <patternFill patternType="solid">
        <fgColor rgb="FFDDEBF7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164" fontId="4" fillId="0" borderId="0" xfId="0" applyNumberFormat="1" applyFont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0" borderId="0" xfId="0"/>
    <xf numFmtId="0" fontId="6" fillId="2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7" fillId="4" borderId="0" xfId="0" applyFont="1" applyFill="1" applyAlignment="1">
      <alignment vertical="top" wrapText="1"/>
    </xf>
    <xf numFmtId="0" fontId="4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Transactions by Risk Tier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DASHBOARD!$B$9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DASHBOARD!$A$10:$A$13</c:f>
              <c:strCache>
                <c:ptCount val="4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  <c:pt idx="3">
                  <c:v>VERY_HIGH</c:v>
                </c:pt>
              </c:strCache>
            </c:strRef>
          </c:cat>
          <c:val>
            <c:numRef>
              <c:f>DASHBOARD!$B$10:$B$13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92-4867-9A20-73E851997A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444500</xdr:colOff>
      <xdr:row>8</xdr:row>
      <xdr:rowOff>114300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showGridLines="0" workbookViewId="0">
      <selection activeCell="B11" sqref="B11"/>
    </sheetView>
  </sheetViews>
  <sheetFormatPr defaultRowHeight="14.5" x14ac:dyDescent="0.35"/>
  <cols>
    <col min="1" max="1" width="24" customWidth="1"/>
    <col min="2" max="2" width="22" customWidth="1"/>
    <col min="3" max="3" width="3" customWidth="1"/>
    <col min="4" max="4" width="24" customWidth="1"/>
    <col min="5" max="8" width="22" customWidth="1"/>
  </cols>
  <sheetData>
    <row r="1" spans="1:8" ht="20.5" customHeight="1" x14ac:dyDescent="0.35">
      <c r="A1" s="9" t="s">
        <v>0</v>
      </c>
      <c r="B1" s="8"/>
      <c r="C1" s="8"/>
      <c r="D1" s="8"/>
      <c r="E1" s="8"/>
      <c r="F1" s="8"/>
      <c r="G1" s="8"/>
      <c r="H1" s="8"/>
    </row>
    <row r="3" spans="1:8" x14ac:dyDescent="0.35">
      <c r="A3" s="10" t="s">
        <v>1</v>
      </c>
      <c r="B3" s="8"/>
      <c r="C3" s="10" t="s">
        <v>2</v>
      </c>
      <c r="D3" s="8"/>
      <c r="E3" s="10" t="s">
        <v>3</v>
      </c>
      <c r="F3" s="8"/>
      <c r="G3" s="10" t="s">
        <v>4</v>
      </c>
      <c r="H3" s="8"/>
    </row>
    <row r="4" spans="1:8" ht="22" customHeight="1" x14ac:dyDescent="0.35">
      <c r="A4" s="11">
        <f>COUNTA(TRANSACTIONS!A3:A1000)</f>
        <v>4</v>
      </c>
      <c r="B4" s="8"/>
      <c r="C4" s="11">
        <f>SUM(TRANSACTIONS!D3:D1000)</f>
        <v>1475500</v>
      </c>
      <c r="D4" s="8"/>
      <c r="E4" s="11">
        <f>COUNTIF(TRANSACTIONS!H3:H1000,"PROTECTED")</f>
        <v>1</v>
      </c>
      <c r="F4" s="8"/>
      <c r="G4" s="11">
        <f>COUNTIF(TRANSACTIONS!G3:G1000,"HIGH")</f>
        <v>1</v>
      </c>
      <c r="H4" s="8"/>
    </row>
    <row r="6" spans="1:8" x14ac:dyDescent="0.35">
      <c r="A6" s="10" t="s">
        <v>5</v>
      </c>
      <c r="B6" s="8"/>
      <c r="C6" s="10" t="s">
        <v>6</v>
      </c>
      <c r="D6" s="8"/>
      <c r="E6" s="10" t="s">
        <v>7</v>
      </c>
      <c r="F6" s="8"/>
      <c r="G6" s="10" t="s">
        <v>8</v>
      </c>
      <c r="H6" s="8"/>
    </row>
    <row r="7" spans="1:8" ht="23" customHeight="1" x14ac:dyDescent="0.35">
      <c r="A7" s="11">
        <f>COUNTIF(TRANSACTIONS!G3:G1000,"VERY_HIGH")</f>
        <v>1</v>
      </c>
      <c r="B7" s="8"/>
      <c r="C7" s="11">
        <f>COUNTIF(TRANSACTIONS!H3:H1000,"CANCELLED")</f>
        <v>1</v>
      </c>
      <c r="D7" s="8"/>
      <c r="E7" s="11">
        <f>COUNTIF(TRANSACTIONS!H3:H1000,"SETTLED")</f>
        <v>1</v>
      </c>
      <c r="F7" s="8"/>
      <c r="G7" s="11">
        <f>COUNTIF(APPROVALS!E3:E1000,"PENDING")</f>
        <v>1</v>
      </c>
      <c r="H7" s="8"/>
    </row>
    <row r="9" spans="1:8" x14ac:dyDescent="0.35">
      <c r="A9" s="1" t="s">
        <v>9</v>
      </c>
      <c r="B9" s="1" t="s">
        <v>10</v>
      </c>
    </row>
    <row r="10" spans="1:8" x14ac:dyDescent="0.35">
      <c r="A10" s="2" t="s">
        <v>11</v>
      </c>
      <c r="B10" s="2">
        <f>COUNTIF(TRANSACTIONS!G3:G1000,"LOW")</f>
        <v>1</v>
      </c>
    </row>
    <row r="11" spans="1:8" x14ac:dyDescent="0.35">
      <c r="A11" s="2" t="s">
        <v>12</v>
      </c>
      <c r="B11" s="2">
        <f>COUNTIF(TRANSACTIONS!G3:G1000,"MEDIUM")</f>
        <v>1</v>
      </c>
    </row>
    <row r="12" spans="1:8" x14ac:dyDescent="0.35">
      <c r="A12" s="2" t="s">
        <v>13</v>
      </c>
      <c r="B12" s="2">
        <f>COUNTIF(TRANSACTIONS!G3:G1000,"HIGH")</f>
        <v>1</v>
      </c>
    </row>
    <row r="13" spans="1:8" x14ac:dyDescent="0.35">
      <c r="A13" s="2" t="s">
        <v>14</v>
      </c>
      <c r="B13" s="2">
        <f>COUNTIF(TRANSACTIONS!G3:G1000,"VERY_HIGH")</f>
        <v>1</v>
      </c>
    </row>
  </sheetData>
  <mergeCells count="17">
    <mergeCell ref="C7:D7"/>
    <mergeCell ref="A7:B7"/>
    <mergeCell ref="G7:H7"/>
    <mergeCell ref="E7:F7"/>
    <mergeCell ref="G6:H6"/>
    <mergeCell ref="E6:F6"/>
    <mergeCell ref="C6:D6"/>
    <mergeCell ref="A1:H1"/>
    <mergeCell ref="A6:B6"/>
    <mergeCell ref="C3:D3"/>
    <mergeCell ref="A3:B3"/>
    <mergeCell ref="G3:H3"/>
    <mergeCell ref="E3:F3"/>
    <mergeCell ref="C4:D4"/>
    <mergeCell ref="A4:B4"/>
    <mergeCell ref="G4:H4"/>
    <mergeCell ref="E4:F4"/>
  </mergeCells>
  <pageMargins left="0.75" right="0.75" top="1" bottom="1" header="0.5" footer="0.5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showGridLines="0" workbookViewId="0">
      <pane ySplit="2" topLeftCell="A3" activePane="bottomLeft" state="frozen"/>
      <selection pane="bottomLeft" activeCell="B9" sqref="B9"/>
    </sheetView>
  </sheetViews>
  <sheetFormatPr defaultRowHeight="14.5" x14ac:dyDescent="0.35"/>
  <cols>
    <col min="1" max="1" width="28" customWidth="1"/>
    <col min="2" max="2" width="105" customWidth="1"/>
  </cols>
  <sheetData>
    <row r="1" spans="1:2" ht="20.5" customHeight="1" x14ac:dyDescent="0.35">
      <c r="A1" s="7" t="s">
        <v>15</v>
      </c>
      <c r="B1" s="8"/>
    </row>
    <row r="2" spans="1:2" x14ac:dyDescent="0.35">
      <c r="A2" s="1" t="s">
        <v>16</v>
      </c>
      <c r="B2" s="1" t="s">
        <v>17</v>
      </c>
    </row>
    <row r="3" spans="1:2" x14ac:dyDescent="0.35">
      <c r="A3" s="3" t="s">
        <v>18</v>
      </c>
      <c r="B3" s="4" t="s">
        <v>19</v>
      </c>
    </row>
    <row r="4" spans="1:2" x14ac:dyDescent="0.35">
      <c r="A4" s="3" t="s">
        <v>20</v>
      </c>
      <c r="B4" s="4" t="s">
        <v>21</v>
      </c>
    </row>
    <row r="5" spans="1:2" x14ac:dyDescent="0.35">
      <c r="A5" s="3" t="s">
        <v>22</v>
      </c>
      <c r="B5" s="4" t="s">
        <v>23</v>
      </c>
    </row>
    <row r="6" spans="1:2" x14ac:dyDescent="0.35">
      <c r="A6" s="3" t="s">
        <v>24</v>
      </c>
      <c r="B6" s="4" t="s">
        <v>25</v>
      </c>
    </row>
    <row r="7" spans="1:2" x14ac:dyDescent="0.35">
      <c r="A7" s="3"/>
      <c r="B7" s="4"/>
    </row>
  </sheetData>
  <autoFilter ref="A2:B7" xr:uid="{00000000-0009-0000-0000-000001000000}"/>
  <mergeCells count="1">
    <mergeCell ref="A1:B1"/>
  </mergeCells>
  <pageMargins left="0.75" right="0.75" top="1" bottom="1" header="0.5" footer="0.5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showGridLines="0" workbookViewId="0">
      <pane ySplit="2" topLeftCell="A3" activePane="bottomLeft" state="frozen"/>
      <selection pane="bottomLeft" activeCell="C5" sqref="C5"/>
    </sheetView>
  </sheetViews>
  <sheetFormatPr defaultRowHeight="14.5" x14ac:dyDescent="0.35"/>
  <cols>
    <col min="1" max="1" width="12" customWidth="1"/>
    <col min="2" max="2" width="20" customWidth="1"/>
    <col min="3" max="3" width="60" customWidth="1"/>
  </cols>
  <sheetData>
    <row r="1" spans="1:3" x14ac:dyDescent="0.35">
      <c r="A1" s="7" t="s">
        <v>26</v>
      </c>
      <c r="B1" s="8"/>
      <c r="C1" s="8"/>
    </row>
    <row r="2" spans="1:3" x14ac:dyDescent="0.35">
      <c r="A2" s="1" t="s">
        <v>27</v>
      </c>
      <c r="B2" s="1" t="s">
        <v>28</v>
      </c>
      <c r="C2" s="1" t="s">
        <v>29</v>
      </c>
    </row>
    <row r="3" spans="1:3" x14ac:dyDescent="0.35">
      <c r="A3" s="3">
        <v>1</v>
      </c>
      <c r="B3" s="4" t="s">
        <v>30</v>
      </c>
      <c r="C3" s="4" t="s">
        <v>31</v>
      </c>
    </row>
    <row r="4" spans="1:3" x14ac:dyDescent="0.35">
      <c r="A4" s="3">
        <v>2</v>
      </c>
      <c r="B4" s="4" t="s">
        <v>32</v>
      </c>
      <c r="C4" s="4" t="s">
        <v>33</v>
      </c>
    </row>
    <row r="5" spans="1:3" x14ac:dyDescent="0.35">
      <c r="A5" s="3">
        <v>3</v>
      </c>
      <c r="B5" s="4" t="s">
        <v>34</v>
      </c>
      <c r="C5" s="4" t="s">
        <v>35</v>
      </c>
    </row>
    <row r="6" spans="1:3" x14ac:dyDescent="0.35">
      <c r="A6" s="3">
        <v>4</v>
      </c>
      <c r="B6" s="4" t="s">
        <v>36</v>
      </c>
      <c r="C6" s="4" t="s">
        <v>37</v>
      </c>
    </row>
  </sheetData>
  <autoFilter ref="A2:C6" xr:uid="{00000000-0009-0000-0000-000002000000}"/>
  <mergeCells count="1">
    <mergeCell ref="A1:C1"/>
  </mergeCells>
  <pageMargins left="0.75" right="0.75" top="1" bottom="1" header="0.5" footer="0.5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"/>
  <sheetViews>
    <sheetView showGridLines="0" topLeftCell="R1" workbookViewId="0">
      <pane ySplit="2" topLeftCell="A3" activePane="bottomLeft" state="frozen"/>
      <selection pane="bottomLeft" sqref="A1:H1"/>
    </sheetView>
  </sheetViews>
  <sheetFormatPr defaultRowHeight="14.5" x14ac:dyDescent="0.35"/>
  <cols>
    <col min="1" max="2" width="12" customWidth="1"/>
    <col min="3" max="3" width="22" customWidth="1"/>
    <col min="4" max="4" width="32" customWidth="1"/>
    <col min="5" max="5" width="16" customWidth="1"/>
    <col min="6" max="6" width="35" customWidth="1"/>
    <col min="7" max="7" width="14" customWidth="1"/>
    <col min="8" max="8" width="22" customWidth="1"/>
  </cols>
  <sheetData>
    <row r="1" spans="1:8" x14ac:dyDescent="0.35">
      <c r="A1" s="7" t="s">
        <v>38</v>
      </c>
      <c r="B1" s="8"/>
      <c r="C1" s="8"/>
      <c r="D1" s="8"/>
      <c r="E1" s="8"/>
      <c r="F1" s="8"/>
      <c r="G1" s="8"/>
      <c r="H1" s="8"/>
    </row>
    <row r="2" spans="1:8" x14ac:dyDescent="0.35">
      <c r="A2" s="1" t="s">
        <v>39</v>
      </c>
      <c r="B2" s="1" t="s">
        <v>27</v>
      </c>
      <c r="C2" s="1" t="s">
        <v>40</v>
      </c>
      <c r="D2" s="1" t="s">
        <v>41</v>
      </c>
      <c r="E2" s="1" t="s">
        <v>42</v>
      </c>
      <c r="F2" s="1" t="s">
        <v>43</v>
      </c>
      <c r="G2" s="1" t="s">
        <v>44</v>
      </c>
      <c r="H2" s="1" t="s">
        <v>45</v>
      </c>
    </row>
    <row r="3" spans="1:8" x14ac:dyDescent="0.35">
      <c r="A3" s="3">
        <v>1001</v>
      </c>
      <c r="B3" s="5">
        <v>1</v>
      </c>
      <c r="C3" s="4" t="s">
        <v>46</v>
      </c>
      <c r="D3" s="4" t="s">
        <v>47</v>
      </c>
      <c r="E3" s="4" t="s">
        <v>48</v>
      </c>
      <c r="F3" s="4" t="s">
        <v>49</v>
      </c>
      <c r="G3" s="4" t="s">
        <v>50</v>
      </c>
      <c r="H3" s="4" t="s">
        <v>51</v>
      </c>
    </row>
    <row r="4" spans="1:8" x14ac:dyDescent="0.35">
      <c r="A4" s="3">
        <v>1002</v>
      </c>
      <c r="B4" s="5">
        <v>2</v>
      </c>
      <c r="C4" s="4" t="s">
        <v>52</v>
      </c>
      <c r="D4" s="4" t="s">
        <v>53</v>
      </c>
      <c r="E4" s="4" t="s">
        <v>54</v>
      </c>
      <c r="F4" s="4" t="s">
        <v>49</v>
      </c>
      <c r="G4" s="4" t="s">
        <v>50</v>
      </c>
      <c r="H4" s="4" t="s">
        <v>55</v>
      </c>
    </row>
    <row r="5" spans="1:8" x14ac:dyDescent="0.35">
      <c r="A5" s="3">
        <v>1003</v>
      </c>
      <c r="B5" s="5">
        <v>3</v>
      </c>
      <c r="C5" s="4" t="s">
        <v>56</v>
      </c>
      <c r="D5" s="4" t="s">
        <v>57</v>
      </c>
      <c r="E5" s="4" t="s">
        <v>58</v>
      </c>
      <c r="F5" s="4" t="s">
        <v>49</v>
      </c>
      <c r="G5" s="4" t="s">
        <v>50</v>
      </c>
      <c r="H5" s="4" t="s">
        <v>59</v>
      </c>
    </row>
    <row r="6" spans="1:8" x14ac:dyDescent="0.35">
      <c r="A6" s="3">
        <v>1004</v>
      </c>
      <c r="B6" s="5">
        <v>4</v>
      </c>
      <c r="C6" s="4" t="s">
        <v>60</v>
      </c>
      <c r="D6" s="4" t="s">
        <v>61</v>
      </c>
      <c r="E6" s="4" t="s">
        <v>62</v>
      </c>
      <c r="F6" s="4" t="s">
        <v>49</v>
      </c>
      <c r="G6" s="4" t="s">
        <v>50</v>
      </c>
      <c r="H6" s="4" t="s">
        <v>63</v>
      </c>
    </row>
  </sheetData>
  <autoFilter ref="A2:H6" xr:uid="{00000000-0009-0000-0000-000003000000}"/>
  <mergeCells count="1">
    <mergeCell ref="A1:H1"/>
  </mergeCells>
  <dataValidations count="1">
    <dataValidation type="list" allowBlank="1" sqref="G3:G500" xr:uid="{00000000-0002-0000-0300-000000000000}">
      <formula1>"ACTIVE,INACTIVE,LOCKED"</formula1>
    </dataValidation>
  </dataValidations>
  <pageMargins left="0.75" right="0.75" top="1" bottom="1" header="0.5" footer="0.5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"/>
  <sheetViews>
    <sheetView showGridLines="0" workbookViewId="0">
      <pane ySplit="2" topLeftCell="A3" activePane="bottomLeft" state="frozen"/>
      <selection pane="bottomLeft" activeCell="D7" sqref="D7"/>
    </sheetView>
  </sheetViews>
  <sheetFormatPr defaultRowHeight="14.5" x14ac:dyDescent="0.35"/>
  <cols>
    <col min="1" max="1" width="14" customWidth="1"/>
    <col min="2" max="2" width="12" customWidth="1"/>
    <col min="3" max="3" width="24" customWidth="1"/>
    <col min="4" max="5" width="18" customWidth="1"/>
    <col min="6" max="6" width="14" customWidth="1"/>
    <col min="7" max="7" width="22" customWidth="1"/>
  </cols>
  <sheetData>
    <row r="1" spans="1:7" ht="21.5" customHeight="1" x14ac:dyDescent="0.35">
      <c r="A1" s="7" t="s">
        <v>64</v>
      </c>
      <c r="B1" s="8"/>
      <c r="C1" s="8"/>
      <c r="D1" s="8"/>
      <c r="E1" s="8"/>
      <c r="F1" s="8"/>
      <c r="G1" s="8"/>
    </row>
    <row r="2" spans="1:7" ht="29" x14ac:dyDescent="0.35">
      <c r="A2" s="1" t="s">
        <v>65</v>
      </c>
      <c r="B2" s="1" t="s">
        <v>39</v>
      </c>
      <c r="C2" s="1" t="s">
        <v>66</v>
      </c>
      <c r="D2" s="1" t="s">
        <v>67</v>
      </c>
      <c r="E2" s="1" t="s">
        <v>68</v>
      </c>
      <c r="F2" s="1" t="s">
        <v>44</v>
      </c>
      <c r="G2" s="1" t="s">
        <v>45</v>
      </c>
    </row>
    <row r="3" spans="1:7" x14ac:dyDescent="0.35">
      <c r="A3" s="3">
        <v>5001</v>
      </c>
      <c r="B3" s="5">
        <v>1001</v>
      </c>
      <c r="C3" s="4" t="s">
        <v>69</v>
      </c>
      <c r="D3" s="4" t="s">
        <v>70</v>
      </c>
      <c r="E3" s="6">
        <v>800000</v>
      </c>
      <c r="F3" s="4" t="s">
        <v>50</v>
      </c>
      <c r="G3" s="4" t="s">
        <v>71</v>
      </c>
    </row>
    <row r="4" spans="1:7" x14ac:dyDescent="0.35">
      <c r="A4" s="3">
        <v>5002</v>
      </c>
      <c r="B4" s="5">
        <v>1002</v>
      </c>
      <c r="C4" s="4" t="s">
        <v>72</v>
      </c>
      <c r="D4" s="4" t="s">
        <v>73</v>
      </c>
      <c r="E4" s="6">
        <v>5000000</v>
      </c>
      <c r="F4" s="4" t="s">
        <v>50</v>
      </c>
      <c r="G4" s="4" t="s">
        <v>74</v>
      </c>
    </row>
  </sheetData>
  <autoFilter ref="A2:G4" xr:uid="{00000000-0009-0000-0000-000004000000}"/>
  <mergeCells count="1">
    <mergeCell ref="A1:G1"/>
  </mergeCells>
  <pageMargins left="0.75" right="0.75" top="1" bottom="1" header="0.5" footer="0.5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"/>
  <sheetViews>
    <sheetView showGridLines="0" workbookViewId="0">
      <pane ySplit="2" topLeftCell="A3" activePane="bottomLeft" state="frozen"/>
      <selection pane="bottomLeft" sqref="A1:G1"/>
    </sheetView>
  </sheetViews>
  <sheetFormatPr defaultRowHeight="14.5" x14ac:dyDescent="0.35"/>
  <cols>
    <col min="1" max="1" width="18" customWidth="1"/>
    <col min="2" max="2" width="12" customWidth="1"/>
    <col min="3" max="4" width="24" customWidth="1"/>
    <col min="5" max="5" width="16" customWidth="1"/>
    <col min="6" max="6" width="14" customWidth="1"/>
    <col min="7" max="7" width="22" customWidth="1"/>
  </cols>
  <sheetData>
    <row r="1" spans="1:7" ht="22" customHeight="1" x14ac:dyDescent="0.35">
      <c r="A1" s="7" t="s">
        <v>75</v>
      </c>
      <c r="B1" s="8"/>
      <c r="C1" s="8"/>
      <c r="D1" s="8"/>
      <c r="E1" s="8"/>
      <c r="F1" s="8"/>
      <c r="G1" s="8"/>
    </row>
    <row r="2" spans="1:7" ht="29" x14ac:dyDescent="0.35">
      <c r="A2" s="1" t="s">
        <v>76</v>
      </c>
      <c r="B2" s="1" t="s">
        <v>39</v>
      </c>
      <c r="C2" s="1" t="s">
        <v>77</v>
      </c>
      <c r="D2" s="1" t="s">
        <v>66</v>
      </c>
      <c r="E2" s="1" t="s">
        <v>78</v>
      </c>
      <c r="F2" s="1" t="s">
        <v>44</v>
      </c>
      <c r="G2" s="1" t="s">
        <v>79</v>
      </c>
    </row>
    <row r="3" spans="1:7" x14ac:dyDescent="0.35">
      <c r="A3" s="3">
        <v>2001</v>
      </c>
      <c r="B3" s="5">
        <v>1001</v>
      </c>
      <c r="C3" s="4" t="s">
        <v>80</v>
      </c>
      <c r="D3" s="4" t="s">
        <v>81</v>
      </c>
      <c r="E3" s="4" t="s">
        <v>82</v>
      </c>
      <c r="F3" s="4" t="s">
        <v>50</v>
      </c>
      <c r="G3" s="4" t="s">
        <v>83</v>
      </c>
    </row>
    <row r="4" spans="1:7" x14ac:dyDescent="0.35">
      <c r="A4" s="3">
        <v>2002</v>
      </c>
      <c r="B4" s="5">
        <v>1001</v>
      </c>
      <c r="C4" s="4" t="s">
        <v>84</v>
      </c>
      <c r="D4" s="4" t="s">
        <v>85</v>
      </c>
      <c r="E4" s="4" t="s">
        <v>86</v>
      </c>
      <c r="F4" s="4" t="s">
        <v>50</v>
      </c>
      <c r="G4" s="4" t="s">
        <v>87</v>
      </c>
    </row>
    <row r="5" spans="1:7" x14ac:dyDescent="0.35">
      <c r="A5" s="3">
        <v>2003</v>
      </c>
      <c r="B5" s="5">
        <v>1002</v>
      </c>
      <c r="C5" s="4" t="s">
        <v>88</v>
      </c>
      <c r="D5" s="4" t="s">
        <v>89</v>
      </c>
      <c r="E5" s="4" t="s">
        <v>90</v>
      </c>
      <c r="F5" s="4" t="s">
        <v>50</v>
      </c>
      <c r="G5" s="4" t="s">
        <v>91</v>
      </c>
    </row>
  </sheetData>
  <autoFilter ref="A2:G5" xr:uid="{00000000-0009-0000-0000-000005000000}"/>
  <mergeCells count="1">
    <mergeCell ref="A1:G1"/>
  </mergeCells>
  <dataValidations count="1">
    <dataValidation type="list" allowBlank="1" sqref="F3:F500" xr:uid="{00000000-0002-0000-0500-000000000000}">
      <formula1>"ACTIVE,INACTIVE"</formula1>
    </dataValidation>
  </dataValidations>
  <pageMargins left="0.75" right="0.75" top="1" bottom="1" header="0.5" footer="0.5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6"/>
  <sheetViews>
    <sheetView showGridLines="0" topLeftCell="F1" workbookViewId="0">
      <pane ySplit="2" topLeftCell="A3" activePane="bottomLeft" state="frozen"/>
      <selection pane="bottomLeft" activeCell="J6" sqref="J6"/>
    </sheetView>
  </sheetViews>
  <sheetFormatPr defaultRowHeight="14.5" x14ac:dyDescent="0.35"/>
  <cols>
    <col min="1" max="1" width="18" customWidth="1"/>
    <col min="2" max="2" width="20" customWidth="1"/>
    <col min="3" max="3" width="18" customWidth="1"/>
    <col min="4" max="4" width="16" customWidth="1"/>
    <col min="5" max="5" width="18" customWidth="1"/>
    <col min="6" max="6" width="14" customWidth="1"/>
    <col min="7" max="7" width="16" customWidth="1"/>
    <col min="8" max="8" width="18" customWidth="1"/>
    <col min="9" max="9" width="20" customWidth="1"/>
    <col min="10" max="11" width="22" customWidth="1"/>
    <col min="12" max="12" width="14" customWidth="1"/>
    <col min="13" max="14" width="22" customWidth="1"/>
  </cols>
  <sheetData>
    <row r="1" spans="1:14" ht="20.5" customHeight="1" x14ac:dyDescent="0.35">
      <c r="A1" s="7" t="s">
        <v>92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29" x14ac:dyDescent="0.35">
      <c r="A2" s="1" t="s">
        <v>93</v>
      </c>
      <c r="B2" s="1" t="s">
        <v>94</v>
      </c>
      <c r="C2" s="1" t="s">
        <v>76</v>
      </c>
      <c r="D2" s="1" t="s">
        <v>95</v>
      </c>
      <c r="E2" s="1" t="s">
        <v>96</v>
      </c>
      <c r="F2" s="1" t="s">
        <v>97</v>
      </c>
      <c r="G2" s="1" t="s">
        <v>98</v>
      </c>
      <c r="H2" s="1" t="s">
        <v>44</v>
      </c>
      <c r="I2" s="1" t="s">
        <v>99</v>
      </c>
      <c r="J2" s="1" t="s">
        <v>100</v>
      </c>
      <c r="K2" s="1" t="s">
        <v>101</v>
      </c>
      <c r="L2" s="1" t="s">
        <v>102</v>
      </c>
      <c r="M2" s="1" t="s">
        <v>45</v>
      </c>
      <c r="N2" s="1" t="s">
        <v>103</v>
      </c>
    </row>
    <row r="3" spans="1:14" x14ac:dyDescent="0.35">
      <c r="A3" s="3">
        <v>10001</v>
      </c>
      <c r="B3" s="4">
        <v>5001</v>
      </c>
      <c r="C3" s="4">
        <v>2001</v>
      </c>
      <c r="D3" s="6">
        <v>500</v>
      </c>
      <c r="E3" s="4" t="s">
        <v>104</v>
      </c>
      <c r="F3" s="4">
        <v>5</v>
      </c>
      <c r="G3" s="4" t="s">
        <v>11</v>
      </c>
      <c r="H3" s="4" t="s">
        <v>105</v>
      </c>
      <c r="I3" s="4">
        <v>0</v>
      </c>
      <c r="J3" s="4"/>
      <c r="K3" s="4"/>
      <c r="L3" s="4" t="s">
        <v>30</v>
      </c>
      <c r="M3" s="4" t="s">
        <v>106</v>
      </c>
      <c r="N3" s="4" t="s">
        <v>107</v>
      </c>
    </row>
    <row r="4" spans="1:14" x14ac:dyDescent="0.35">
      <c r="A4" s="3">
        <v>10002</v>
      </c>
      <c r="B4" s="4">
        <v>5001</v>
      </c>
      <c r="C4" s="4">
        <v>2001</v>
      </c>
      <c r="D4" s="6">
        <v>25000</v>
      </c>
      <c r="E4" s="4" t="s">
        <v>104</v>
      </c>
      <c r="F4" s="4">
        <v>50</v>
      </c>
      <c r="G4" s="4" t="s">
        <v>12</v>
      </c>
      <c r="H4" s="4" t="s">
        <v>108</v>
      </c>
      <c r="I4" s="4">
        <v>10</v>
      </c>
      <c r="J4" s="4" t="s">
        <v>109</v>
      </c>
      <c r="K4" s="4" t="s">
        <v>110</v>
      </c>
      <c r="L4" s="4" t="s">
        <v>30</v>
      </c>
      <c r="M4" s="4" t="s">
        <v>111</v>
      </c>
      <c r="N4" s="4" t="s">
        <v>112</v>
      </c>
    </row>
    <row r="5" spans="1:14" x14ac:dyDescent="0.35">
      <c r="A5" s="3">
        <v>10003</v>
      </c>
      <c r="B5" s="4">
        <v>5001</v>
      </c>
      <c r="C5" s="4">
        <v>2002</v>
      </c>
      <c r="D5" s="6">
        <v>450000</v>
      </c>
      <c r="E5" s="4" t="s">
        <v>104</v>
      </c>
      <c r="F5" s="4">
        <v>75</v>
      </c>
      <c r="G5" s="4" t="s">
        <v>13</v>
      </c>
      <c r="H5" s="4" t="s">
        <v>113</v>
      </c>
      <c r="I5" s="4">
        <v>60</v>
      </c>
      <c r="J5" s="4" t="s">
        <v>114</v>
      </c>
      <c r="K5" s="4" t="s">
        <v>115</v>
      </c>
      <c r="L5" s="4" t="s">
        <v>30</v>
      </c>
      <c r="M5" s="4" t="s">
        <v>114</v>
      </c>
      <c r="N5" s="4" t="s">
        <v>114</v>
      </c>
    </row>
    <row r="6" spans="1:14" x14ac:dyDescent="0.35">
      <c r="A6" s="3">
        <v>10004</v>
      </c>
      <c r="B6" s="4">
        <v>5002</v>
      </c>
      <c r="C6" s="4">
        <v>2002</v>
      </c>
      <c r="D6" s="6">
        <v>1000000</v>
      </c>
      <c r="E6" s="4" t="s">
        <v>104</v>
      </c>
      <c r="F6" s="4">
        <v>90</v>
      </c>
      <c r="G6" s="4" t="s">
        <v>14</v>
      </c>
      <c r="H6" s="4" t="s">
        <v>116</v>
      </c>
      <c r="I6" s="4">
        <v>0</v>
      </c>
      <c r="J6" s="4"/>
      <c r="K6" s="4"/>
      <c r="L6" s="4" t="s">
        <v>32</v>
      </c>
      <c r="M6" s="4" t="s">
        <v>115</v>
      </c>
      <c r="N6" s="4" t="s">
        <v>115</v>
      </c>
    </row>
  </sheetData>
  <autoFilter ref="A2:N6" xr:uid="{00000000-0009-0000-0000-000006000000}"/>
  <mergeCells count="1">
    <mergeCell ref="A1:N1"/>
  </mergeCells>
  <dataValidations count="2">
    <dataValidation type="list" allowBlank="1" sqref="G3:G500" xr:uid="{00000000-0002-0000-0600-000000000000}">
      <formula1>"LOW,MEDIUM,HIGH,VERY_HIGH"</formula1>
    </dataValidation>
    <dataValidation type="list" allowBlank="1" sqref="H3:H500" xr:uid="{00000000-0002-0000-0600-000001000000}">
      <formula1>"CREATED,AUTHORIZED,RISK_ASSESSED,PROTECTED,HARD_HOLD,CANCELLED,RELEASED,SETTLED,DISPUTED,REJECTED"</formula1>
    </dataValidation>
  </dataValidations>
  <pageMargins left="0.75" right="0.75" top="1" bottom="1" header="0.5" footer="0.5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9"/>
  <sheetViews>
    <sheetView showGridLines="0" topLeftCell="C1" workbookViewId="0">
      <pane ySplit="2" topLeftCell="A3" activePane="bottomLeft" state="frozen"/>
      <selection pane="bottomLeft" activeCell="C12" sqref="C12"/>
    </sheetView>
  </sheetViews>
  <sheetFormatPr defaultRowHeight="14.5" x14ac:dyDescent="0.35"/>
  <cols>
    <col min="1" max="1" width="18" customWidth="1"/>
    <col min="2" max="2" width="24" customWidth="1"/>
    <col min="3" max="3" width="25" customWidth="1"/>
    <col min="4" max="4" width="65" customWidth="1"/>
    <col min="5" max="5" width="12" customWidth="1"/>
    <col min="6" max="6" width="14" customWidth="1"/>
  </cols>
  <sheetData>
    <row r="1" spans="1:6" ht="17.5" customHeight="1" x14ac:dyDescent="0.35">
      <c r="A1" s="7" t="s">
        <v>117</v>
      </c>
      <c r="B1" s="8"/>
      <c r="C1" s="8"/>
      <c r="D1" s="8"/>
      <c r="E1" s="8"/>
      <c r="F1" s="8"/>
    </row>
    <row r="2" spans="1:6" x14ac:dyDescent="0.35">
      <c r="A2" s="1" t="s">
        <v>118</v>
      </c>
      <c r="B2" s="1" t="s">
        <v>119</v>
      </c>
      <c r="C2" s="1" t="s">
        <v>120</v>
      </c>
      <c r="D2" s="1" t="s">
        <v>29</v>
      </c>
      <c r="E2" s="1" t="s">
        <v>121</v>
      </c>
      <c r="F2" s="1" t="s">
        <v>122</v>
      </c>
    </row>
    <row r="3" spans="1:6" x14ac:dyDescent="0.35">
      <c r="A3" s="3">
        <v>3001</v>
      </c>
      <c r="B3" s="4" t="s">
        <v>123</v>
      </c>
      <c r="C3" s="4" t="s">
        <v>124</v>
      </c>
      <c r="D3" s="4" t="s">
        <v>125</v>
      </c>
      <c r="E3" s="4">
        <v>30</v>
      </c>
      <c r="F3" s="4" t="s">
        <v>126</v>
      </c>
    </row>
    <row r="4" spans="1:6" x14ac:dyDescent="0.35">
      <c r="A4" s="3">
        <v>3002</v>
      </c>
      <c r="B4" s="4" t="s">
        <v>127</v>
      </c>
      <c r="C4" s="4" t="s">
        <v>128</v>
      </c>
      <c r="D4" s="4" t="s">
        <v>129</v>
      </c>
      <c r="E4" s="4">
        <v>25</v>
      </c>
      <c r="F4" s="4" t="s">
        <v>126</v>
      </c>
    </row>
    <row r="5" spans="1:6" x14ac:dyDescent="0.35">
      <c r="A5" s="3">
        <v>3003</v>
      </c>
      <c r="B5" s="4" t="s">
        <v>130</v>
      </c>
      <c r="C5" s="4" t="s">
        <v>131</v>
      </c>
      <c r="D5" s="4" t="s">
        <v>132</v>
      </c>
      <c r="E5" s="4">
        <v>20</v>
      </c>
      <c r="F5" s="4" t="s">
        <v>126</v>
      </c>
    </row>
    <row r="6" spans="1:6" x14ac:dyDescent="0.35">
      <c r="A6" s="3">
        <v>3004</v>
      </c>
      <c r="B6" s="12" t="s">
        <v>133</v>
      </c>
      <c r="C6" s="4" t="s">
        <v>134</v>
      </c>
      <c r="D6" s="4" t="s">
        <v>135</v>
      </c>
      <c r="E6" s="4">
        <v>15</v>
      </c>
      <c r="F6" s="4" t="s">
        <v>126</v>
      </c>
    </row>
    <row r="7" spans="1:6" x14ac:dyDescent="0.35">
      <c r="A7" s="3">
        <v>3005</v>
      </c>
      <c r="B7" s="4" t="s">
        <v>136</v>
      </c>
      <c r="C7" s="4" t="s">
        <v>137</v>
      </c>
      <c r="D7" s="4" t="s">
        <v>138</v>
      </c>
      <c r="E7" s="4">
        <v>20</v>
      </c>
      <c r="F7" s="4" t="s">
        <v>126</v>
      </c>
    </row>
    <row r="8" spans="1:6" x14ac:dyDescent="0.35">
      <c r="A8" s="3">
        <v>3006</v>
      </c>
      <c r="B8" s="12" t="s">
        <v>139</v>
      </c>
      <c r="C8" s="4" t="s">
        <v>140</v>
      </c>
      <c r="D8" s="4" t="s">
        <v>141</v>
      </c>
      <c r="E8" s="4">
        <v>15</v>
      </c>
      <c r="F8" s="4" t="s">
        <v>126</v>
      </c>
    </row>
    <row r="9" spans="1:6" x14ac:dyDescent="0.35">
      <c r="A9" s="3">
        <v>3007</v>
      </c>
      <c r="B9" s="12" t="s">
        <v>142</v>
      </c>
      <c r="C9" s="4" t="s">
        <v>143</v>
      </c>
      <c r="D9" s="4" t="s">
        <v>144</v>
      </c>
      <c r="E9" s="4">
        <v>5</v>
      </c>
      <c r="F9" s="4" t="s">
        <v>126</v>
      </c>
    </row>
  </sheetData>
  <autoFilter ref="A2:F9" xr:uid="{00000000-0009-0000-0000-000007000000}"/>
  <mergeCells count="1">
    <mergeCell ref="A1:F1"/>
  </mergeCells>
  <dataValidations count="1">
    <dataValidation type="list" allowBlank="1" sqref="F3:F500" xr:uid="{00000000-0002-0000-0700-000000000000}">
      <formula1>"Y,N"</formula1>
    </dataValidation>
  </dataValidations>
  <pageMargins left="0.75" right="0.75" top="1" bottom="1" header="0.5" footer="0.5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9"/>
  <sheetViews>
    <sheetView showGridLines="0" workbookViewId="0">
      <pane ySplit="2" topLeftCell="A3" activePane="bottomLeft" state="frozen"/>
      <selection pane="bottomLeft" activeCell="C3" sqref="C3"/>
    </sheetView>
  </sheetViews>
  <sheetFormatPr defaultRowHeight="14.5" x14ac:dyDescent="0.35"/>
  <cols>
    <col min="1" max="2" width="18" customWidth="1"/>
    <col min="3" max="3" width="16" customWidth="1"/>
    <col min="4" max="4" width="70" customWidth="1"/>
  </cols>
  <sheetData>
    <row r="1" spans="1:4" x14ac:dyDescent="0.35">
      <c r="A1" s="7" t="s">
        <v>145</v>
      </c>
      <c r="B1" s="8"/>
      <c r="C1" s="8"/>
      <c r="D1" s="8"/>
    </row>
    <row r="2" spans="1:4" x14ac:dyDescent="0.35">
      <c r="A2" s="1" t="s">
        <v>93</v>
      </c>
      <c r="B2" s="1" t="s">
        <v>118</v>
      </c>
      <c r="C2" s="1" t="s">
        <v>146</v>
      </c>
      <c r="D2" s="1" t="s">
        <v>147</v>
      </c>
    </row>
    <row r="3" spans="1:4" x14ac:dyDescent="0.35">
      <c r="A3" s="3">
        <v>10003</v>
      </c>
      <c r="B3" s="5">
        <v>3001</v>
      </c>
      <c r="C3" s="4">
        <v>30</v>
      </c>
      <c r="D3" s="4" t="s">
        <v>148</v>
      </c>
    </row>
    <row r="4" spans="1:4" x14ac:dyDescent="0.35">
      <c r="A4" s="3">
        <v>10003</v>
      </c>
      <c r="B4" s="5">
        <v>3002</v>
      </c>
      <c r="C4" s="4">
        <v>25</v>
      </c>
      <c r="D4" s="4" t="s">
        <v>149</v>
      </c>
    </row>
    <row r="5" spans="1:4" x14ac:dyDescent="0.35">
      <c r="A5" s="3">
        <v>10003</v>
      </c>
      <c r="B5" s="5">
        <v>3003</v>
      </c>
      <c r="C5" s="4">
        <v>20</v>
      </c>
      <c r="D5" s="4" t="s">
        <v>150</v>
      </c>
    </row>
    <row r="6" spans="1:4" x14ac:dyDescent="0.35">
      <c r="A6" s="3">
        <v>10004</v>
      </c>
      <c r="B6" s="5">
        <v>3001</v>
      </c>
      <c r="C6" s="4">
        <v>30</v>
      </c>
      <c r="D6" s="4" t="s">
        <v>148</v>
      </c>
    </row>
    <row r="7" spans="1:4" x14ac:dyDescent="0.35">
      <c r="A7" s="3">
        <v>10004</v>
      </c>
      <c r="B7" s="5">
        <v>3002</v>
      </c>
      <c r="C7" s="4">
        <v>25</v>
      </c>
      <c r="D7" s="4" t="s">
        <v>151</v>
      </c>
    </row>
    <row r="8" spans="1:4" x14ac:dyDescent="0.35">
      <c r="A8" s="3">
        <v>10004</v>
      </c>
      <c r="B8" s="5">
        <v>3005</v>
      </c>
      <c r="C8" s="4">
        <v>20</v>
      </c>
      <c r="D8" s="4" t="s">
        <v>137</v>
      </c>
    </row>
    <row r="9" spans="1:4" x14ac:dyDescent="0.35">
      <c r="A9" s="3">
        <v>10004</v>
      </c>
      <c r="B9" s="5">
        <v>3006</v>
      </c>
      <c r="C9" s="4">
        <v>15</v>
      </c>
      <c r="D9" s="4" t="s">
        <v>140</v>
      </c>
    </row>
  </sheetData>
  <autoFilter ref="A2:D9" xr:uid="{00000000-0009-0000-0000-000008000000}"/>
  <mergeCells count="1">
    <mergeCell ref="A1:D1"/>
  </mergeCells>
  <pageMargins left="0.75" right="0.75" top="1" bottom="1" header="0.5" footer="0.5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6"/>
  <sheetViews>
    <sheetView showGridLines="0" tabSelected="1" topLeftCell="B1" workbookViewId="0">
      <pane ySplit="2" topLeftCell="A3" activePane="bottomLeft" state="frozen"/>
      <selection pane="bottomLeft" activeCell="K16" sqref="K16"/>
    </sheetView>
  </sheetViews>
  <sheetFormatPr defaultRowHeight="14.5" x14ac:dyDescent="0.35"/>
  <cols>
    <col min="1" max="1" width="14" customWidth="1"/>
    <col min="2" max="2" width="18" customWidth="1"/>
    <col min="3" max="4" width="14" customWidth="1"/>
    <col min="5" max="5" width="22" customWidth="1"/>
    <col min="6" max="6" width="28" customWidth="1"/>
    <col min="7" max="7" width="14" customWidth="1"/>
  </cols>
  <sheetData>
    <row r="1" spans="1:7" x14ac:dyDescent="0.35">
      <c r="A1" s="7" t="s">
        <v>152</v>
      </c>
      <c r="B1" s="8"/>
      <c r="C1" s="8"/>
      <c r="D1" s="8"/>
      <c r="E1" s="8"/>
      <c r="F1" s="8"/>
      <c r="G1" s="8"/>
    </row>
    <row r="2" spans="1:7" x14ac:dyDescent="0.35">
      <c r="A2" s="1" t="s">
        <v>153</v>
      </c>
      <c r="B2" s="1" t="s">
        <v>98</v>
      </c>
      <c r="C2" s="1" t="s">
        <v>154</v>
      </c>
      <c r="D2" s="1" t="s">
        <v>155</v>
      </c>
      <c r="E2" s="1" t="s">
        <v>99</v>
      </c>
      <c r="F2" s="1" t="s">
        <v>156</v>
      </c>
      <c r="G2" s="1" t="s">
        <v>122</v>
      </c>
    </row>
    <row r="3" spans="1:7" x14ac:dyDescent="0.35">
      <c r="A3" s="3">
        <v>4001</v>
      </c>
      <c r="B3" s="4" t="s">
        <v>11</v>
      </c>
      <c r="C3" s="4">
        <v>0</v>
      </c>
      <c r="D3" s="4">
        <v>30</v>
      </c>
      <c r="E3" s="4">
        <v>0</v>
      </c>
      <c r="F3" s="4" t="s">
        <v>157</v>
      </c>
      <c r="G3" s="4" t="s">
        <v>126</v>
      </c>
    </row>
    <row r="4" spans="1:7" x14ac:dyDescent="0.35">
      <c r="A4" s="3">
        <v>4002</v>
      </c>
      <c r="B4" s="4" t="s">
        <v>12</v>
      </c>
      <c r="C4" s="4">
        <v>31</v>
      </c>
      <c r="D4" s="4">
        <v>60</v>
      </c>
      <c r="E4" s="4">
        <v>10</v>
      </c>
      <c r="F4" s="4" t="s">
        <v>158</v>
      </c>
      <c r="G4" s="4" t="s">
        <v>126</v>
      </c>
    </row>
    <row r="5" spans="1:7" x14ac:dyDescent="0.35">
      <c r="A5" s="3">
        <v>4003</v>
      </c>
      <c r="B5" s="4" t="s">
        <v>13</v>
      </c>
      <c r="C5" s="4">
        <v>61</v>
      </c>
      <c r="D5" s="4">
        <v>85</v>
      </c>
      <c r="E5" s="4">
        <v>60</v>
      </c>
      <c r="F5" s="4" t="s">
        <v>158</v>
      </c>
      <c r="G5" s="4" t="s">
        <v>126</v>
      </c>
    </row>
    <row r="6" spans="1:7" x14ac:dyDescent="0.35">
      <c r="A6" s="3">
        <v>4004</v>
      </c>
      <c r="B6" s="4" t="s">
        <v>14</v>
      </c>
      <c r="C6" s="4">
        <v>86</v>
      </c>
      <c r="D6" s="4">
        <v>100</v>
      </c>
      <c r="E6" s="4">
        <v>0</v>
      </c>
      <c r="F6" s="4" t="s">
        <v>159</v>
      </c>
      <c r="G6" s="4" t="s">
        <v>126</v>
      </c>
    </row>
  </sheetData>
  <autoFilter ref="A2:G6" xr:uid="{00000000-0009-0000-0000-000009000000}"/>
  <mergeCells count="1">
    <mergeCell ref="A1:G1"/>
  </mergeCells>
  <dataValidations count="1">
    <dataValidation type="list" allowBlank="1" sqref="G3:G500" xr:uid="{00000000-0002-0000-0900-000000000000}">
      <formula1>"Y,N"</formula1>
    </dataValidation>
  </dataValidations>
  <pageMargins left="0.75" right="0.75" top="1" bottom="1" header="0.5" footer="0.5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4"/>
  <sheetViews>
    <sheetView showGridLines="0" workbookViewId="0">
      <pane ySplit="2" topLeftCell="A3" activePane="bottomLeft" state="frozen"/>
      <selection pane="bottomLeft" sqref="A1:G1"/>
    </sheetView>
  </sheetViews>
  <sheetFormatPr defaultRowHeight="14.5" x14ac:dyDescent="0.35"/>
  <cols>
    <col min="1" max="1" width="14" customWidth="1"/>
    <col min="2" max="2" width="12" customWidth="1"/>
    <col min="3" max="3" width="24" customWidth="1"/>
    <col min="4" max="4" width="22" customWidth="1"/>
    <col min="5" max="5" width="30" customWidth="1"/>
    <col min="6" max="6" width="34" customWidth="1"/>
    <col min="7" max="7" width="14" customWidth="1"/>
  </cols>
  <sheetData>
    <row r="1" spans="1:7" x14ac:dyDescent="0.35">
      <c r="A1" s="7" t="s">
        <v>160</v>
      </c>
      <c r="B1" s="8"/>
      <c r="C1" s="8"/>
      <c r="D1" s="8"/>
      <c r="E1" s="8"/>
      <c r="F1" s="8"/>
      <c r="G1" s="8"/>
    </row>
    <row r="2" spans="1:7" ht="29" x14ac:dyDescent="0.35">
      <c r="A2" s="1" t="s">
        <v>161</v>
      </c>
      <c r="B2" s="1" t="s">
        <v>39</v>
      </c>
      <c r="C2" s="1" t="s">
        <v>162</v>
      </c>
      <c r="D2" s="1" t="s">
        <v>99</v>
      </c>
      <c r="E2" s="1" t="s">
        <v>163</v>
      </c>
      <c r="F2" s="1" t="s">
        <v>164</v>
      </c>
      <c r="G2" s="1" t="s">
        <v>122</v>
      </c>
    </row>
    <row r="3" spans="1:7" x14ac:dyDescent="0.35">
      <c r="A3" s="3">
        <v>5001</v>
      </c>
      <c r="B3" s="4">
        <v>1001</v>
      </c>
      <c r="C3" s="6">
        <v>50000</v>
      </c>
      <c r="D3" s="4">
        <v>30</v>
      </c>
      <c r="E3" s="4" t="s">
        <v>126</v>
      </c>
      <c r="F3" s="6">
        <v>500000</v>
      </c>
      <c r="G3" s="4" t="s">
        <v>126</v>
      </c>
    </row>
    <row r="4" spans="1:7" x14ac:dyDescent="0.35">
      <c r="A4" s="3">
        <v>5002</v>
      </c>
      <c r="B4" s="4">
        <v>1002</v>
      </c>
      <c r="C4" s="6">
        <v>100000</v>
      </c>
      <c r="D4" s="4">
        <v>60</v>
      </c>
      <c r="E4" s="4" t="s">
        <v>126</v>
      </c>
      <c r="F4" s="6">
        <v>1000000</v>
      </c>
      <c r="G4" s="4" t="s">
        <v>126</v>
      </c>
    </row>
  </sheetData>
  <autoFilter ref="A2:G4" xr:uid="{00000000-0009-0000-0000-00000A000000}"/>
  <mergeCells count="1">
    <mergeCell ref="A1:G1"/>
  </mergeCells>
  <pageMargins left="0.75" right="0.75" top="1" bottom="1" header="0.5" footer="0.5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4"/>
  <sheetViews>
    <sheetView showGridLines="0" workbookViewId="0">
      <pane ySplit="2" topLeftCell="A3" activePane="bottomLeft" state="frozen"/>
      <selection pane="bottomLeft" activeCell="F10" sqref="F10"/>
    </sheetView>
  </sheetViews>
  <sheetFormatPr defaultRowHeight="14.5" x14ac:dyDescent="0.35"/>
  <cols>
    <col min="1" max="1" width="14" customWidth="1"/>
    <col min="2" max="2" width="18" customWidth="1"/>
    <col min="3" max="4" width="14" customWidth="1"/>
    <col min="5" max="5" width="16" customWidth="1"/>
    <col min="6" max="6" width="60" customWidth="1"/>
    <col min="7" max="8" width="22" customWidth="1"/>
  </cols>
  <sheetData>
    <row r="1" spans="1:8" x14ac:dyDescent="0.35">
      <c r="A1" s="7" t="s">
        <v>165</v>
      </c>
      <c r="B1" s="8"/>
      <c r="C1" s="8"/>
      <c r="D1" s="8"/>
      <c r="E1" s="8"/>
      <c r="F1" s="8"/>
      <c r="G1" s="8"/>
      <c r="H1" s="8"/>
    </row>
    <row r="2" spans="1:8" x14ac:dyDescent="0.35">
      <c r="A2" s="1" t="s">
        <v>166</v>
      </c>
      <c r="B2" s="1" t="s">
        <v>93</v>
      </c>
      <c r="C2" s="1" t="s">
        <v>167</v>
      </c>
      <c r="D2" s="1" t="s">
        <v>168</v>
      </c>
      <c r="E2" s="1" t="s">
        <v>156</v>
      </c>
      <c r="F2" s="1" t="s">
        <v>169</v>
      </c>
      <c r="G2" s="1" t="s">
        <v>45</v>
      </c>
      <c r="H2" s="1" t="s">
        <v>170</v>
      </c>
    </row>
    <row r="3" spans="1:8" x14ac:dyDescent="0.35">
      <c r="A3" s="3">
        <v>6001</v>
      </c>
      <c r="B3" s="5">
        <v>10004</v>
      </c>
      <c r="C3" s="4">
        <v>1002</v>
      </c>
      <c r="D3" s="4"/>
      <c r="E3" s="4" t="s">
        <v>171</v>
      </c>
      <c r="F3" s="4" t="s">
        <v>172</v>
      </c>
      <c r="G3" s="4" t="s">
        <v>173</v>
      </c>
      <c r="H3" s="4"/>
    </row>
    <row r="4" spans="1:8" x14ac:dyDescent="0.35">
      <c r="A4" s="3">
        <v>6002</v>
      </c>
      <c r="B4" s="5">
        <v>9999</v>
      </c>
      <c r="C4" s="4">
        <v>1002</v>
      </c>
      <c r="D4" s="4">
        <v>1003</v>
      </c>
      <c r="E4" s="4" t="s">
        <v>174</v>
      </c>
      <c r="F4" s="4" t="s">
        <v>175</v>
      </c>
      <c r="G4" s="4" t="s">
        <v>176</v>
      </c>
      <c r="H4" s="4" t="s">
        <v>177</v>
      </c>
    </row>
  </sheetData>
  <autoFilter ref="A2:H4" xr:uid="{00000000-0009-0000-0000-00000B000000}"/>
  <mergeCells count="1">
    <mergeCell ref="A1:H1"/>
  </mergeCells>
  <dataValidations count="1">
    <dataValidation type="list" allowBlank="1" sqref="E3:E500" xr:uid="{00000000-0002-0000-0B00-000000000000}">
      <formula1>"PENDING,APPROVED,REJECTED"</formula1>
    </dataValidation>
  </dataValidations>
  <pageMargins left="0.75" right="0.75" top="1" bottom="1" header="0.5" footer="0.5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3"/>
  <sheetViews>
    <sheetView showGridLines="0" workbookViewId="0">
      <pane ySplit="2" topLeftCell="A3" activePane="bottomLeft" state="frozen"/>
      <selection pane="bottomLeft" sqref="A1:I1"/>
    </sheetView>
  </sheetViews>
  <sheetFormatPr defaultRowHeight="14.5" x14ac:dyDescent="0.35"/>
  <cols>
    <col min="1" max="1" width="14" customWidth="1"/>
    <col min="2" max="2" width="18" customWidth="1"/>
    <col min="3" max="3" width="14" customWidth="1"/>
    <col min="4" max="4" width="24" customWidth="1"/>
    <col min="5" max="5" width="60" customWidth="1"/>
    <col min="6" max="6" width="18" customWidth="1"/>
    <col min="7" max="8" width="22" customWidth="1"/>
    <col min="9" max="9" width="55" customWidth="1"/>
  </cols>
  <sheetData>
    <row r="1" spans="1:9" x14ac:dyDescent="0.35">
      <c r="A1" s="7" t="s">
        <v>178</v>
      </c>
      <c r="B1" s="8"/>
      <c r="C1" s="8"/>
      <c r="D1" s="8"/>
      <c r="E1" s="8"/>
      <c r="F1" s="8"/>
      <c r="G1" s="8"/>
      <c r="H1" s="8"/>
      <c r="I1" s="8"/>
    </row>
    <row r="2" spans="1:9" x14ac:dyDescent="0.35">
      <c r="A2" s="1" t="s">
        <v>179</v>
      </c>
      <c r="B2" s="1" t="s">
        <v>93</v>
      </c>
      <c r="C2" s="1" t="s">
        <v>39</v>
      </c>
      <c r="D2" s="1" t="s">
        <v>180</v>
      </c>
      <c r="E2" s="1" t="s">
        <v>29</v>
      </c>
      <c r="F2" s="1" t="s">
        <v>44</v>
      </c>
      <c r="G2" s="1" t="s">
        <v>45</v>
      </c>
      <c r="H2" s="1" t="s">
        <v>181</v>
      </c>
      <c r="I2" s="1" t="s">
        <v>182</v>
      </c>
    </row>
    <row r="3" spans="1:9" x14ac:dyDescent="0.35">
      <c r="A3" s="3">
        <v>7001</v>
      </c>
      <c r="B3" s="4">
        <v>10001</v>
      </c>
      <c r="C3" s="4">
        <v>1001</v>
      </c>
      <c r="D3" s="4" t="s">
        <v>183</v>
      </c>
      <c r="E3" s="4" t="s">
        <v>184</v>
      </c>
      <c r="F3" s="4" t="s">
        <v>185</v>
      </c>
      <c r="G3" s="4" t="s">
        <v>186</v>
      </c>
      <c r="H3" s="4"/>
      <c r="I3" s="4"/>
    </row>
  </sheetData>
  <autoFilter ref="A2:I3" xr:uid="{00000000-0009-0000-0000-00000C000000}"/>
  <mergeCells count="1">
    <mergeCell ref="A1:I1"/>
  </mergeCells>
  <dataValidations count="1">
    <dataValidation type="list" allowBlank="1" sqref="F3:F500" xr:uid="{00000000-0002-0000-0C00-000000000000}">
      <formula1>"OPEN,UNDER_REVIEW,RESOLVED,REJECTED"</formula1>
    </dataValidation>
  </dataValidations>
  <pageMargins left="0.75" right="0.75" top="1" bottom="1" header="0.5" footer="0.5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"/>
  <sheetViews>
    <sheetView showGridLines="0" workbookViewId="0">
      <pane ySplit="2" topLeftCell="A3" activePane="bottomLeft" state="frozen"/>
      <selection pane="bottomLeft" activeCell="G13" sqref="G13"/>
    </sheetView>
  </sheetViews>
  <sheetFormatPr defaultRowHeight="14.5" x14ac:dyDescent="0.35"/>
  <cols>
    <col min="1" max="2" width="14" customWidth="1"/>
    <col min="3" max="3" width="18" customWidth="1"/>
    <col min="4" max="4" width="28" customWidth="1"/>
    <col min="5" max="6" width="18" customWidth="1"/>
    <col min="7" max="7" width="24" customWidth="1"/>
    <col min="8" max="8" width="60" customWidth="1"/>
  </cols>
  <sheetData>
    <row r="1" spans="1:8" x14ac:dyDescent="0.35">
      <c r="A1" s="7" t="s">
        <v>187</v>
      </c>
      <c r="B1" s="8"/>
      <c r="C1" s="8"/>
      <c r="D1" s="8"/>
      <c r="E1" s="8"/>
      <c r="F1" s="8"/>
      <c r="G1" s="8"/>
      <c r="H1" s="8"/>
    </row>
    <row r="2" spans="1:8" x14ac:dyDescent="0.35">
      <c r="A2" s="1" t="s">
        <v>188</v>
      </c>
      <c r="B2" s="1" t="s">
        <v>39</v>
      </c>
      <c r="C2" s="1" t="s">
        <v>93</v>
      </c>
      <c r="D2" s="1" t="s">
        <v>156</v>
      </c>
      <c r="E2" s="1" t="s">
        <v>189</v>
      </c>
      <c r="F2" s="1" t="s">
        <v>190</v>
      </c>
      <c r="G2" s="1" t="s">
        <v>191</v>
      </c>
      <c r="H2" s="1" t="s">
        <v>192</v>
      </c>
    </row>
    <row r="3" spans="1:8" x14ac:dyDescent="0.35">
      <c r="A3" s="3">
        <v>8001</v>
      </c>
      <c r="B3" s="4">
        <v>1001</v>
      </c>
      <c r="C3" s="4">
        <v>10003</v>
      </c>
      <c r="D3" s="4" t="s">
        <v>193</v>
      </c>
      <c r="E3" s="4" t="s">
        <v>194</v>
      </c>
      <c r="F3" s="4" t="s">
        <v>113</v>
      </c>
      <c r="G3" s="4" t="s">
        <v>114</v>
      </c>
      <c r="H3" s="4" t="s">
        <v>195</v>
      </c>
    </row>
    <row r="4" spans="1:8" x14ac:dyDescent="0.35">
      <c r="A4" s="3">
        <v>8002</v>
      </c>
      <c r="B4" s="4">
        <v>1001</v>
      </c>
      <c r="C4" s="4">
        <v>10002</v>
      </c>
      <c r="D4" s="4" t="s">
        <v>196</v>
      </c>
      <c r="E4" s="4" t="s">
        <v>113</v>
      </c>
      <c r="F4" s="4" t="s">
        <v>108</v>
      </c>
      <c r="G4" s="4" t="s">
        <v>112</v>
      </c>
      <c r="H4" s="4" t="s">
        <v>197</v>
      </c>
    </row>
    <row r="5" spans="1:8" x14ac:dyDescent="0.35">
      <c r="A5" s="3">
        <v>8003</v>
      </c>
      <c r="B5" s="4">
        <v>1003</v>
      </c>
      <c r="C5" s="4">
        <v>10004</v>
      </c>
      <c r="D5" s="4" t="s">
        <v>198</v>
      </c>
      <c r="E5" s="4" t="s">
        <v>116</v>
      </c>
      <c r="F5" s="4" t="s">
        <v>116</v>
      </c>
      <c r="G5" s="4" t="s">
        <v>199</v>
      </c>
      <c r="H5" s="4" t="s">
        <v>200</v>
      </c>
    </row>
  </sheetData>
  <autoFilter ref="A2:H5" xr:uid="{00000000-0009-0000-0000-00000D000000}"/>
  <mergeCells count="1">
    <mergeCell ref="A1:H1"/>
  </mergeCells>
  <pageMargins left="0.75" right="0.75" top="1" bottom="1" header="0.5" footer="0.5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6"/>
  <sheetViews>
    <sheetView showGridLines="0" workbookViewId="0">
      <pane ySplit="2" topLeftCell="A4" activePane="bottomLeft" state="frozen"/>
      <selection pane="bottomLeft" activeCell="D11" sqref="D11"/>
    </sheetView>
  </sheetViews>
  <sheetFormatPr defaultRowHeight="14.5" x14ac:dyDescent="0.35"/>
  <cols>
    <col min="1" max="1" width="32" customWidth="1"/>
    <col min="2" max="2" width="16" customWidth="1"/>
    <col min="3" max="3" width="20" customWidth="1"/>
    <col min="4" max="4" width="22" customWidth="1"/>
    <col min="5" max="5" width="20" customWidth="1"/>
    <col min="6" max="6" width="16" customWidth="1"/>
    <col min="7" max="7" width="22" customWidth="1"/>
    <col min="8" max="9" width="16" customWidth="1"/>
    <col min="10" max="10" width="28" customWidth="1"/>
  </cols>
  <sheetData>
    <row r="1" spans="1:10" x14ac:dyDescent="0.35">
      <c r="A1" s="7" t="s">
        <v>201</v>
      </c>
      <c r="B1" s="8"/>
      <c r="C1" s="8"/>
      <c r="D1" s="8"/>
      <c r="E1" s="8"/>
      <c r="F1" s="8"/>
      <c r="G1" s="8"/>
      <c r="H1" s="8"/>
      <c r="I1" s="8"/>
      <c r="J1" s="8"/>
    </row>
    <row r="2" spans="1:10" x14ac:dyDescent="0.35">
      <c r="A2" s="1" t="s">
        <v>202</v>
      </c>
      <c r="B2" s="1" t="s">
        <v>95</v>
      </c>
      <c r="C2" s="1" t="s">
        <v>123</v>
      </c>
      <c r="D2" s="1" t="s">
        <v>130</v>
      </c>
      <c r="E2" s="1" t="s">
        <v>133</v>
      </c>
      <c r="F2" s="1" t="s">
        <v>136</v>
      </c>
      <c r="G2" s="1" t="s">
        <v>139</v>
      </c>
      <c r="H2" s="1" t="s">
        <v>97</v>
      </c>
      <c r="I2" s="1" t="s">
        <v>98</v>
      </c>
      <c r="J2" s="1" t="s">
        <v>203</v>
      </c>
    </row>
    <row r="3" spans="1:10" x14ac:dyDescent="0.35">
      <c r="A3" s="4" t="s">
        <v>204</v>
      </c>
      <c r="B3" s="6">
        <v>500</v>
      </c>
      <c r="C3" s="4" t="s">
        <v>205</v>
      </c>
      <c r="D3" s="4" t="s">
        <v>205</v>
      </c>
      <c r="E3" s="4" t="s">
        <v>205</v>
      </c>
      <c r="F3" s="4" t="s">
        <v>205</v>
      </c>
      <c r="G3" s="4" t="s">
        <v>205</v>
      </c>
      <c r="H3" s="2">
        <f>IF(C3="Y",RISK_FACTORS!$E$3,0)+IF(D3="Y",RISK_FACTORS!$E$5,0)+IF(E3="Y",RISK_FACTORS!$E$6,0)+IF(F3="Y",RISK_FACTORS!$E$7,0)+IF(G3="Y",RISK_FACTORS!$E$8,0)</f>
        <v>0</v>
      </c>
      <c r="I3" s="2" t="str">
        <f>IF(H3&lt;=30,"LOW",IF(H3&lt;=60,"MEDIUM",IF(H3&lt;=85,"HIGH","VERY_HIGH")))</f>
        <v>LOW</v>
      </c>
      <c r="J3" s="2" t="str">
        <f>IF(I3="LOW","INSTANT_SETTLEMENT",IF(OR(I3="MEDIUM",I3="HIGH"),"PROTECTED_WINDOW","HARD_HOLD_CHECKER"))</f>
        <v>INSTANT_SETTLEMENT</v>
      </c>
    </row>
    <row r="4" spans="1:10" ht="29" x14ac:dyDescent="0.35">
      <c r="A4" s="4" t="s">
        <v>206</v>
      </c>
      <c r="B4" s="6">
        <v>25000</v>
      </c>
      <c r="C4" s="4" t="s">
        <v>205</v>
      </c>
      <c r="D4" s="4" t="s">
        <v>126</v>
      </c>
      <c r="E4" s="4" t="s">
        <v>126</v>
      </c>
      <c r="F4" s="4" t="s">
        <v>205</v>
      </c>
      <c r="G4" s="4" t="s">
        <v>205</v>
      </c>
      <c r="H4" s="2">
        <f>IF(C4="Y",RISK_FACTORS!$E$3,0)+IF(D4="Y",RISK_FACTORS!$E$5,0)+IF(E4="Y",RISK_FACTORS!$E$6,0)+IF(F4="Y",RISK_FACTORS!$E$7,0)+IF(G4="Y",RISK_FACTORS!$E$8,0)</f>
        <v>35</v>
      </c>
      <c r="I4" s="2" t="str">
        <f>IF(H4&lt;=30,"LOW",IF(H4&lt;=60,"MEDIUM",IF(H4&lt;=85,"HIGH","VERY_HIGH")))</f>
        <v>MEDIUM</v>
      </c>
      <c r="J4" s="2" t="str">
        <f>IF(I4="LOW","INSTANT_SETTLEMENT",IF(OR(I4="MEDIUM",I4="HIGH"),"PROTECTED_WINDOW","HARD_HOLD_CHECKER"))</f>
        <v>PROTECTED_WINDOW</v>
      </c>
    </row>
    <row r="5" spans="1:10" x14ac:dyDescent="0.35">
      <c r="A5" s="4" t="s">
        <v>207</v>
      </c>
      <c r="B5" s="6">
        <v>450000</v>
      </c>
      <c r="C5" s="4" t="s">
        <v>126</v>
      </c>
      <c r="D5" s="4" t="s">
        <v>126</v>
      </c>
      <c r="E5" s="4" t="s">
        <v>126</v>
      </c>
      <c r="F5" s="4" t="s">
        <v>205</v>
      </c>
      <c r="G5" s="4" t="s">
        <v>205</v>
      </c>
      <c r="H5" s="2">
        <f>IF(C5="Y",RISK_FACTORS!$E$3,0)+IF(D5="Y",RISK_FACTORS!$E$5,0)+IF(E5="Y",RISK_FACTORS!$E$6,0)+IF(F5="Y",RISK_FACTORS!$E$7,0)+IF(G5="Y",RISK_FACTORS!$E$8,0)</f>
        <v>65</v>
      </c>
      <c r="I5" s="2" t="str">
        <f>IF(H5&lt;=30,"LOW",IF(H5&lt;=60,"MEDIUM",IF(H5&lt;=85,"HIGH","VERY_HIGH")))</f>
        <v>HIGH</v>
      </c>
      <c r="J5" s="2" t="str">
        <f>IF(I5="LOW","INSTANT_SETTLEMENT",IF(OR(I5="MEDIUM",I5="HIGH"),"PROTECTED_WINDOW","HARD_HOLD_CHECKER"))</f>
        <v>PROTECTED_WINDOW</v>
      </c>
    </row>
    <row r="6" spans="1:10" x14ac:dyDescent="0.35">
      <c r="A6" s="4" t="s">
        <v>208</v>
      </c>
      <c r="B6" s="6">
        <v>1000000</v>
      </c>
      <c r="C6" s="4" t="s">
        <v>126</v>
      </c>
      <c r="D6" s="4" t="s">
        <v>126</v>
      </c>
      <c r="E6" s="4" t="s">
        <v>126</v>
      </c>
      <c r="F6" s="4" t="s">
        <v>126</v>
      </c>
      <c r="G6" s="4" t="s">
        <v>126</v>
      </c>
      <c r="H6" s="2">
        <f>IF(C6="Y",RISK_FACTORS!$E$3,0)+IF(D6="Y",RISK_FACTORS!$E$5,0)+IF(E6="Y",RISK_FACTORS!$E$6,0)+IF(F6="Y",RISK_FACTORS!$E$7,0)+IF(G6="Y",RISK_FACTORS!$E$8,0)</f>
        <v>100</v>
      </c>
      <c r="I6" s="2" t="str">
        <f>IF(H6&lt;=30,"LOW",IF(H6&lt;=60,"MEDIUM",IF(H6&lt;=85,"HIGH","VERY_HIGH")))</f>
        <v>VERY_HIGH</v>
      </c>
      <c r="J6" s="2" t="str">
        <f>IF(I6="LOW","INSTANT_SETTLEMENT",IF(OR(I6="MEDIUM",I6="HIGH"),"PROTECTED_WINDOW","HARD_HOLD_CHECKER"))</f>
        <v>HARD_HOLD_CHECKER</v>
      </c>
    </row>
  </sheetData>
  <autoFilter ref="A2:J6" xr:uid="{00000000-0009-0000-0000-00000E000000}"/>
  <mergeCells count="1">
    <mergeCell ref="A1:J1"/>
  </mergeCells>
  <pageMargins left="0.75" right="0.75" top="1" bottom="1" header="0.5" footer="0.5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5"/>
  <sheetViews>
    <sheetView showGridLines="0" workbookViewId="0">
      <pane ySplit="2" topLeftCell="A3" activePane="bottomLeft" state="frozen"/>
      <selection pane="bottomLeft" activeCell="D20" sqref="D20"/>
    </sheetView>
  </sheetViews>
  <sheetFormatPr defaultRowHeight="14.5" x14ac:dyDescent="0.35"/>
  <cols>
    <col min="1" max="1" width="30" customWidth="1"/>
    <col min="2" max="2" width="34" customWidth="1"/>
    <col min="3" max="3" width="22" customWidth="1"/>
    <col min="4" max="4" width="12" customWidth="1"/>
    <col min="5" max="5" width="16" customWidth="1"/>
    <col min="6" max="6" width="75" customWidth="1"/>
  </cols>
  <sheetData>
    <row r="1" spans="1:6" x14ac:dyDescent="0.35">
      <c r="A1" s="7" t="s">
        <v>209</v>
      </c>
      <c r="B1" s="8"/>
      <c r="C1" s="8"/>
      <c r="D1" s="8"/>
      <c r="E1" s="8"/>
      <c r="F1" s="8"/>
    </row>
    <row r="2" spans="1:6" x14ac:dyDescent="0.35">
      <c r="A2" s="1" t="s">
        <v>210</v>
      </c>
      <c r="B2" s="1" t="s">
        <v>211</v>
      </c>
      <c r="C2" s="1" t="s">
        <v>212</v>
      </c>
      <c r="D2" s="1" t="s">
        <v>213</v>
      </c>
      <c r="E2" s="1" t="s">
        <v>214</v>
      </c>
      <c r="F2" s="1" t="s">
        <v>215</v>
      </c>
    </row>
    <row r="3" spans="1:6" x14ac:dyDescent="0.35">
      <c r="A3" s="3" t="s">
        <v>216</v>
      </c>
      <c r="B3" s="5" t="s">
        <v>93</v>
      </c>
      <c r="C3" s="5" t="s">
        <v>217</v>
      </c>
      <c r="D3" s="5" t="s">
        <v>218</v>
      </c>
      <c r="E3" s="5" t="s">
        <v>219</v>
      </c>
      <c r="F3" s="4" t="s">
        <v>220</v>
      </c>
    </row>
    <row r="4" spans="1:6" x14ac:dyDescent="0.35">
      <c r="A4" s="3" t="s">
        <v>216</v>
      </c>
      <c r="B4" s="5" t="s">
        <v>95</v>
      </c>
      <c r="C4" s="5" t="s">
        <v>221</v>
      </c>
      <c r="D4" s="5"/>
      <c r="E4" s="5" t="s">
        <v>219</v>
      </c>
      <c r="F4" s="4" t="s">
        <v>222</v>
      </c>
    </row>
    <row r="5" spans="1:6" x14ac:dyDescent="0.35">
      <c r="A5" s="3" t="s">
        <v>216</v>
      </c>
      <c r="B5" s="5" t="s">
        <v>97</v>
      </c>
      <c r="C5" s="5" t="s">
        <v>223</v>
      </c>
      <c r="D5" s="5"/>
      <c r="E5" s="5" t="s">
        <v>224</v>
      </c>
      <c r="F5" s="4" t="s">
        <v>225</v>
      </c>
    </row>
    <row r="6" spans="1:6" x14ac:dyDescent="0.35">
      <c r="A6" s="3" t="s">
        <v>216</v>
      </c>
      <c r="B6" s="5" t="s">
        <v>98</v>
      </c>
      <c r="C6" s="5" t="s">
        <v>226</v>
      </c>
      <c r="D6" s="5"/>
      <c r="E6" s="5" t="s">
        <v>224</v>
      </c>
      <c r="F6" s="4" t="s">
        <v>227</v>
      </c>
    </row>
    <row r="7" spans="1:6" x14ac:dyDescent="0.35">
      <c r="A7" s="3" t="s">
        <v>216</v>
      </c>
      <c r="B7" s="5" t="s">
        <v>44</v>
      </c>
      <c r="C7" s="5" t="s">
        <v>228</v>
      </c>
      <c r="D7" s="5"/>
      <c r="E7" s="5" t="s">
        <v>219</v>
      </c>
      <c r="F7" s="4" t="s">
        <v>229</v>
      </c>
    </row>
    <row r="8" spans="1:6" x14ac:dyDescent="0.35">
      <c r="A8" s="3" t="s">
        <v>216</v>
      </c>
      <c r="B8" s="5" t="s">
        <v>101</v>
      </c>
      <c r="C8" s="5" t="s">
        <v>230</v>
      </c>
      <c r="D8" s="5"/>
      <c r="E8" s="5" t="s">
        <v>224</v>
      </c>
      <c r="F8" s="4" t="s">
        <v>231</v>
      </c>
    </row>
    <row r="9" spans="1:6" x14ac:dyDescent="0.35">
      <c r="A9" s="3" t="s">
        <v>232</v>
      </c>
      <c r="B9" s="5" t="s">
        <v>121</v>
      </c>
      <c r="C9" s="5" t="s">
        <v>223</v>
      </c>
      <c r="D9" s="5"/>
      <c r="E9" s="5" t="s">
        <v>219</v>
      </c>
      <c r="F9" s="4" t="s">
        <v>233</v>
      </c>
    </row>
    <row r="10" spans="1:6" x14ac:dyDescent="0.35">
      <c r="A10" s="3" t="s">
        <v>234</v>
      </c>
      <c r="B10" s="5" t="s">
        <v>99</v>
      </c>
      <c r="C10" s="5" t="s">
        <v>217</v>
      </c>
      <c r="D10" s="5"/>
      <c r="E10" s="5" t="s">
        <v>219</v>
      </c>
      <c r="F10" s="4" t="s">
        <v>235</v>
      </c>
    </row>
    <row r="11" spans="1:6" x14ac:dyDescent="0.35">
      <c r="A11" s="3" t="s">
        <v>236</v>
      </c>
      <c r="B11" s="5" t="s">
        <v>167</v>
      </c>
      <c r="C11" s="5" t="s">
        <v>217</v>
      </c>
      <c r="D11" s="5" t="s">
        <v>237</v>
      </c>
      <c r="E11" s="5" t="s">
        <v>219</v>
      </c>
      <c r="F11" s="4" t="s">
        <v>238</v>
      </c>
    </row>
    <row r="12" spans="1:6" x14ac:dyDescent="0.35">
      <c r="A12" s="3" t="s">
        <v>236</v>
      </c>
      <c r="B12" s="5" t="s">
        <v>168</v>
      </c>
      <c r="C12" s="5" t="s">
        <v>217</v>
      </c>
      <c r="D12" s="5" t="s">
        <v>237</v>
      </c>
      <c r="E12" s="5" t="s">
        <v>224</v>
      </c>
      <c r="F12" s="4" t="s">
        <v>239</v>
      </c>
    </row>
    <row r="13" spans="1:6" x14ac:dyDescent="0.35">
      <c r="A13" s="3" t="s">
        <v>240</v>
      </c>
      <c r="B13" s="5" t="s">
        <v>93</v>
      </c>
      <c r="C13" s="5" t="s">
        <v>217</v>
      </c>
      <c r="D13" s="5" t="s">
        <v>237</v>
      </c>
      <c r="E13" s="5" t="s">
        <v>219</v>
      </c>
      <c r="F13" s="4" t="s">
        <v>241</v>
      </c>
    </row>
    <row r="14" spans="1:6" x14ac:dyDescent="0.35">
      <c r="A14" s="3" t="s">
        <v>242</v>
      </c>
      <c r="B14" s="5" t="s">
        <v>189</v>
      </c>
      <c r="C14" s="5" t="s">
        <v>228</v>
      </c>
      <c r="D14" s="5"/>
      <c r="E14" s="5" t="s">
        <v>224</v>
      </c>
      <c r="F14" s="4" t="s">
        <v>243</v>
      </c>
    </row>
    <row r="15" spans="1:6" x14ac:dyDescent="0.35">
      <c r="A15" s="3" t="s">
        <v>242</v>
      </c>
      <c r="B15" s="5" t="s">
        <v>190</v>
      </c>
      <c r="C15" s="5" t="s">
        <v>228</v>
      </c>
      <c r="D15" s="5"/>
      <c r="E15" s="5" t="s">
        <v>224</v>
      </c>
      <c r="F15" s="4" t="s">
        <v>244</v>
      </c>
    </row>
  </sheetData>
  <autoFilter ref="A2:F15" xr:uid="{00000000-0009-0000-0000-00000F000000}"/>
  <mergeCells count="1">
    <mergeCell ref="A1:F1"/>
  </mergeCells>
  <pageMargins left="0.75" right="0.75" top="1" bottom="1" header="0.5" footer="0.5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6"/>
  <sheetViews>
    <sheetView showGridLines="0" workbookViewId="0">
      <pane ySplit="2" topLeftCell="A3" activePane="bottomLeft" state="frozen"/>
      <selection pane="bottomLeft" activeCell="B15" sqref="B15"/>
    </sheetView>
  </sheetViews>
  <sheetFormatPr defaultRowHeight="14.5" x14ac:dyDescent="0.35"/>
  <cols>
    <col min="1" max="1" width="36" customWidth="1"/>
    <col min="2" max="2" width="58" customWidth="1"/>
    <col min="3" max="3" width="55" customWidth="1"/>
    <col min="4" max="4" width="70" customWidth="1"/>
    <col min="5" max="5" width="80" customWidth="1"/>
  </cols>
  <sheetData>
    <row r="1" spans="1:5" x14ac:dyDescent="0.35">
      <c r="A1" s="7" t="s">
        <v>245</v>
      </c>
      <c r="B1" s="8"/>
      <c r="C1" s="8"/>
      <c r="D1" s="8"/>
      <c r="E1" s="8"/>
    </row>
    <row r="2" spans="1:5" x14ac:dyDescent="0.35">
      <c r="A2" s="1" t="s">
        <v>246</v>
      </c>
      <c r="B2" s="1" t="s">
        <v>215</v>
      </c>
      <c r="C2" s="1" t="s">
        <v>247</v>
      </c>
      <c r="D2" s="1" t="s">
        <v>248</v>
      </c>
      <c r="E2" s="1" t="s">
        <v>249</v>
      </c>
    </row>
    <row r="3" spans="1:5" x14ac:dyDescent="0.35">
      <c r="A3" s="3" t="s">
        <v>250</v>
      </c>
      <c r="B3" s="4" t="s">
        <v>251</v>
      </c>
      <c r="C3" s="4" t="s">
        <v>252</v>
      </c>
      <c r="D3" s="4" t="s">
        <v>253</v>
      </c>
      <c r="E3" s="4" t="s">
        <v>254</v>
      </c>
    </row>
    <row r="4" spans="1:5" x14ac:dyDescent="0.35">
      <c r="A4" s="3" t="s">
        <v>255</v>
      </c>
      <c r="B4" s="4" t="s">
        <v>256</v>
      </c>
      <c r="C4" s="4" t="s">
        <v>216</v>
      </c>
      <c r="D4" s="4" t="s">
        <v>257</v>
      </c>
      <c r="E4" s="4" t="s">
        <v>258</v>
      </c>
    </row>
    <row r="5" spans="1:5" x14ac:dyDescent="0.35">
      <c r="A5" s="3" t="s">
        <v>259</v>
      </c>
      <c r="B5" s="4" t="s">
        <v>260</v>
      </c>
      <c r="C5" s="4" t="s">
        <v>261</v>
      </c>
      <c r="D5" s="4" t="s">
        <v>262</v>
      </c>
      <c r="E5" s="4" t="s">
        <v>263</v>
      </c>
    </row>
    <row r="6" spans="1:5" x14ac:dyDescent="0.35">
      <c r="A6" s="3" t="s">
        <v>264</v>
      </c>
      <c r="B6" s="4" t="s">
        <v>265</v>
      </c>
      <c r="C6" s="4" t="s">
        <v>266</v>
      </c>
      <c r="D6" s="4" t="s">
        <v>267</v>
      </c>
      <c r="E6" s="4" t="s">
        <v>268</v>
      </c>
    </row>
  </sheetData>
  <autoFilter ref="A2:E6" xr:uid="{00000000-0009-0000-0000-000010000000}"/>
  <mergeCells count="1">
    <mergeCell ref="A1:E1"/>
  </mergeCells>
  <pageMargins left="0.75" right="0.75" top="1" bottom="1" header="0.5" footer="0.5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</worksheet>
</file>

<file path=docMetadata/LabelInfo.xml><?xml version="1.0" encoding="utf-8"?>
<clbl:labelList xmlns:clbl="http://schemas.microsoft.com/office/2020/mipLabelMetadata">
  <clbl:label id="{825c952f-1947-4719-99e7-7bc5a76060a8}" enabled="1" method="Standard" siteId="{4e2c6054-71cb-48f1-bd6c-3a9705aca71b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DASHBOARD</vt:lpstr>
      <vt:lpstr>README</vt:lpstr>
      <vt:lpstr>ROLES</vt:lpstr>
      <vt:lpstr>USERS</vt:lpstr>
      <vt:lpstr>ACCOUNTS</vt:lpstr>
      <vt:lpstr>BENEFICIARIES</vt:lpstr>
      <vt:lpstr>TRANSACTIONS</vt:lpstr>
      <vt:lpstr>RISK_FACTORS</vt:lpstr>
      <vt:lpstr>TRANSACTION_RISK_FACTORS</vt:lpstr>
      <vt:lpstr>PROTECTION_RULES</vt:lpstr>
      <vt:lpstr>USER_SAFETY_SETTINGS</vt:lpstr>
      <vt:lpstr>APPROVALS</vt:lpstr>
      <vt:lpstr>DISPUTES</vt:lpstr>
      <vt:lpstr>AUDIT_LOG</vt:lpstr>
      <vt:lpstr>SCENARIO_CALC</vt:lpstr>
      <vt:lpstr>DATA_DICTIONARY</vt:lpstr>
      <vt:lpstr>REPORTING_VIEWS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Rao Laisetti</cp:lastModifiedBy>
  <dcterms:created xsi:type="dcterms:W3CDTF">2026-08-27T10:56:35Z</dcterms:created>
  <dcterms:modified xsi:type="dcterms:W3CDTF">2026-08-30T10:33:44Z</dcterms:modified>
</cp:coreProperties>
</file>